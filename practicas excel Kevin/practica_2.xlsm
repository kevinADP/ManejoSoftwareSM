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cuments\Manejo de Microcom\"/>
    </mc:Choice>
  </mc:AlternateContent>
  <xr:revisionPtr revIDLastSave="0" documentId="13_ncr:1_{8C9C6F41-DD62-474D-A98D-473D754D800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  <externalReference r:id="rId7"/>
  </externalReferences>
  <definedNames>
    <definedName name="IVA_totales">[1]Pedidos_enero!#REF!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5" l="1"/>
  <c r="C17" i="5"/>
  <c r="D17" i="5"/>
  <c r="E15" i="4"/>
  <c r="E14" i="4"/>
  <c r="E13" i="4"/>
  <c r="E12" i="4"/>
  <c r="E11" i="4"/>
  <c r="E10" i="4"/>
  <c r="E9" i="4"/>
  <c r="E8" i="4"/>
  <c r="E7" i="4"/>
  <c r="E6" i="4"/>
  <c r="E5" i="4"/>
  <c r="E4" i="4"/>
  <c r="E3" i="4"/>
  <c r="E17" i="4" s="1"/>
  <c r="D3" i="4"/>
  <c r="B17" i="4"/>
  <c r="C17" i="4"/>
  <c r="D17" i="4"/>
  <c r="B16" i="3"/>
  <c r="C16" i="3" s="1"/>
  <c r="D16" i="3" l="1"/>
  <c r="D15" i="5"/>
  <c r="D14" i="5"/>
  <c r="D13" i="5"/>
  <c r="D12" i="5"/>
  <c r="D11" i="5"/>
  <c r="D10" i="5"/>
  <c r="D9" i="5"/>
  <c r="D8" i="5"/>
  <c r="D7" i="5"/>
  <c r="D6" i="5"/>
  <c r="D5" i="5"/>
  <c r="D4" i="5"/>
  <c r="D3" i="5"/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D4" i="4" l="1"/>
  <c r="D5" i="4"/>
  <c r="D6" i="4"/>
  <c r="D7" i="4"/>
  <c r="D8" i="4"/>
  <c r="D9" i="4"/>
  <c r="D10" i="4"/>
  <c r="D11" i="4"/>
  <c r="D12" i="4"/>
  <c r="D13" i="4"/>
  <c r="D14" i="4"/>
  <c r="D15" i="4"/>
</calcChain>
</file>

<file path=xl/sharedStrings.xml><?xml version="1.0" encoding="utf-8"?>
<sst xmlns="http://schemas.openxmlformats.org/spreadsheetml/2006/main" count="92" uniqueCount="47">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</sst>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68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  <font>
      <sz val="11"/>
      <color indexed="2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3" fontId="7" fillId="6" borderId="2" xfId="0" applyNumberFormat="1" applyFont="1" applyFill="1" applyBorder="1" applyAlignment="1">
      <alignment horizontal="center" vertical="center"/>
    </xf>
    <xf numFmtId="166" fontId="7" fillId="6" borderId="1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 wrapText="1"/>
    </xf>
    <xf numFmtId="9" fontId="0" fillId="7" borderId="0" xfId="1" applyFont="1" applyFill="1"/>
    <xf numFmtId="0" fontId="0" fillId="7" borderId="0" xfId="0" applyFill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9" fontId="0" fillId="8" borderId="25" xfId="1" applyFont="1" applyFill="1" applyBorder="1"/>
    <xf numFmtId="0" fontId="0" fillId="8" borderId="26" xfId="0" applyFill="1" applyBorder="1"/>
    <xf numFmtId="9" fontId="0" fillId="8" borderId="27" xfId="1" applyFont="1" applyFill="1" applyBorder="1"/>
    <xf numFmtId="0" fontId="0" fillId="0" borderId="28" xfId="0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8" fillId="7" borderId="7" xfId="0" applyFont="1" applyFill="1" applyBorder="1"/>
    <xf numFmtId="10" fontId="0" fillId="0" borderId="0" xfId="0" applyNumberFormat="1"/>
    <xf numFmtId="168" fontId="0" fillId="5" borderId="16" xfId="0" applyNumberFormat="1" applyFill="1" applyBorder="1"/>
    <xf numFmtId="168" fontId="5" fillId="4" borderId="13" xfId="0" applyNumberFormat="1" applyFont="1" applyFill="1" applyBorder="1" applyAlignment="1">
      <alignment horizontal="center" vertical="center"/>
    </xf>
    <xf numFmtId="168" fontId="3" fillId="2" borderId="10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4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" fillId="0" borderId="0" xfId="0" applyFont="1" applyAlignment="1">
      <alignment horizontal="left" vertical="center" wrapText="1"/>
    </xf>
    <xf numFmtId="3" fontId="7" fillId="9" borderId="2" xfId="0" applyNumberFormat="1" applyFont="1" applyFill="1" applyBorder="1" applyAlignment="1">
      <alignment horizontal="center" vertical="center"/>
    </xf>
    <xf numFmtId="168" fontId="7" fillId="9" borderId="1" xfId="0" applyNumberFormat="1" applyFont="1" applyFill="1" applyBorder="1" applyAlignment="1">
      <alignment horizontal="center" vertical="center"/>
    </xf>
    <xf numFmtId="168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166" fontId="5" fillId="9" borderId="1" xfId="0" applyNumberFormat="1" applyFont="1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1</xdr:row>
          <xdr:rowOff>190500</xdr:rowOff>
        </xdr:from>
        <xdr:to>
          <xdr:col>7</xdr:col>
          <xdr:colOff>95250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Total</a:t>
              </a:r>
            </a:p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 meses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1dique/Documents/Aprender_a_programar_con_Excel_VBA/Necesarios/Pr&#225;cticas%201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&#225;cticas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definedNames>
      <definedName name="TotalesMese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9"/>
  <sheetViews>
    <sheetView workbookViewId="0">
      <selection activeCell="F10" sqref="F10"/>
    </sheetView>
  </sheetViews>
  <sheetFormatPr baseColWidth="10" defaultRowHeight="15" x14ac:dyDescent="0.25"/>
  <cols>
    <col min="1" max="1" width="33" customWidth="1"/>
    <col min="2" max="2" width="16.85546875" customWidth="1"/>
    <col min="3" max="5" width="16.85546875" style="61" customWidth="1"/>
  </cols>
  <sheetData>
    <row r="1" spans="1:5" ht="15.75" thickBot="1" x14ac:dyDescent="0.3">
      <c r="A1" s="18" t="s">
        <v>19</v>
      </c>
      <c r="B1" s="17" t="s">
        <v>18</v>
      </c>
      <c r="C1" s="56"/>
      <c r="D1" s="56"/>
      <c r="E1" s="56"/>
    </row>
    <row r="2" spans="1:5" ht="15.75" thickBot="1" x14ac:dyDescent="0.3">
      <c r="A2" s="15" t="s">
        <v>17</v>
      </c>
      <c r="B2" s="14" t="s">
        <v>16</v>
      </c>
      <c r="C2" s="57" t="s">
        <v>46</v>
      </c>
      <c r="D2" s="57" t="s">
        <v>45</v>
      </c>
      <c r="E2" s="57" t="s">
        <v>45</v>
      </c>
    </row>
    <row r="3" spans="1:5" ht="15.75" thickTop="1" x14ac:dyDescent="0.25">
      <c r="A3" s="12" t="s">
        <v>13</v>
      </c>
      <c r="B3" s="11">
        <v>432</v>
      </c>
      <c r="C3" s="58">
        <v>0.14000000000000001</v>
      </c>
      <c r="D3" s="58">
        <f>B3*C3</f>
        <v>60.480000000000004</v>
      </c>
      <c r="E3" s="58">
        <f>C3*D3</f>
        <v>8.4672000000000018</v>
      </c>
    </row>
    <row r="4" spans="1:5" x14ac:dyDescent="0.25">
      <c r="A4" s="8" t="s">
        <v>12</v>
      </c>
      <c r="B4" s="7">
        <v>2342</v>
      </c>
      <c r="C4" s="59">
        <v>1.75</v>
      </c>
      <c r="D4" s="59">
        <f t="shared" ref="D4:E15" si="0">B4*C4</f>
        <v>4098.5</v>
      </c>
      <c r="E4" s="59">
        <f t="shared" si="0"/>
        <v>7172.375</v>
      </c>
    </row>
    <row r="5" spans="1:5" x14ac:dyDescent="0.25">
      <c r="A5" s="8" t="s">
        <v>11</v>
      </c>
      <c r="B5" s="7">
        <v>26</v>
      </c>
      <c r="C5" s="59">
        <v>1.75</v>
      </c>
      <c r="D5" s="59">
        <f t="shared" si="0"/>
        <v>45.5</v>
      </c>
      <c r="E5" s="59">
        <f t="shared" si="0"/>
        <v>79.625</v>
      </c>
    </row>
    <row r="6" spans="1:5" x14ac:dyDescent="0.25">
      <c r="A6" s="8" t="s">
        <v>10</v>
      </c>
      <c r="B6" s="7">
        <v>654</v>
      </c>
      <c r="C6" s="59">
        <v>1.65</v>
      </c>
      <c r="D6" s="59">
        <f t="shared" si="0"/>
        <v>1079.0999999999999</v>
      </c>
      <c r="E6" s="59">
        <f t="shared" si="0"/>
        <v>1780.5149999999996</v>
      </c>
    </row>
    <row r="7" spans="1:5" x14ac:dyDescent="0.25">
      <c r="A7" s="8" t="s">
        <v>9</v>
      </c>
      <c r="B7" s="7">
        <v>70</v>
      </c>
      <c r="C7" s="59">
        <v>5.67</v>
      </c>
      <c r="D7" s="59">
        <f t="shared" si="0"/>
        <v>396.9</v>
      </c>
      <c r="E7" s="59">
        <f t="shared" si="0"/>
        <v>2250.4229999999998</v>
      </c>
    </row>
    <row r="8" spans="1:5" x14ac:dyDescent="0.25">
      <c r="A8" s="8" t="s">
        <v>8</v>
      </c>
      <c r="B8" s="7">
        <v>3435</v>
      </c>
      <c r="C8" s="59">
        <v>0.18</v>
      </c>
      <c r="D8" s="59">
        <f t="shared" si="0"/>
        <v>618.29999999999995</v>
      </c>
      <c r="E8" s="59">
        <f t="shared" si="0"/>
        <v>111.29399999999998</v>
      </c>
    </row>
    <row r="9" spans="1:5" x14ac:dyDescent="0.25">
      <c r="A9" s="8" t="s">
        <v>7</v>
      </c>
      <c r="B9" s="7">
        <v>4757</v>
      </c>
      <c r="C9" s="59">
        <v>0.08</v>
      </c>
      <c r="D9" s="59">
        <f t="shared" si="0"/>
        <v>380.56</v>
      </c>
      <c r="E9" s="59">
        <f t="shared" si="0"/>
        <v>30.444800000000001</v>
      </c>
    </row>
    <row r="10" spans="1:5" x14ac:dyDescent="0.25">
      <c r="A10" s="8" t="s">
        <v>6</v>
      </c>
      <c r="B10" s="9">
        <v>645</v>
      </c>
      <c r="C10" s="59">
        <v>1.68</v>
      </c>
      <c r="D10" s="59">
        <f t="shared" si="0"/>
        <v>1083.5999999999999</v>
      </c>
      <c r="E10" s="59">
        <f t="shared" si="0"/>
        <v>1820.4479999999999</v>
      </c>
    </row>
    <row r="11" spans="1:5" x14ac:dyDescent="0.25">
      <c r="A11" s="8" t="s">
        <v>5</v>
      </c>
      <c r="B11" s="7">
        <v>68</v>
      </c>
      <c r="C11" s="59">
        <v>2.5</v>
      </c>
      <c r="D11" s="59">
        <f t="shared" si="0"/>
        <v>170</v>
      </c>
      <c r="E11" s="59">
        <f t="shared" si="0"/>
        <v>425</v>
      </c>
    </row>
    <row r="12" spans="1:5" x14ac:dyDescent="0.25">
      <c r="A12" s="8" t="s">
        <v>4</v>
      </c>
      <c r="B12" s="7">
        <v>543</v>
      </c>
      <c r="C12" s="59">
        <v>2.5</v>
      </c>
      <c r="D12" s="59">
        <f t="shared" si="0"/>
        <v>1357.5</v>
      </c>
      <c r="E12" s="59">
        <f t="shared" si="0"/>
        <v>3393.75</v>
      </c>
    </row>
    <row r="13" spans="1:5" x14ac:dyDescent="0.25">
      <c r="A13" s="8" t="s">
        <v>3</v>
      </c>
      <c r="B13" s="7">
        <v>3456</v>
      </c>
      <c r="C13" s="59">
        <v>1.59</v>
      </c>
      <c r="D13" s="59">
        <f t="shared" si="0"/>
        <v>5495.04</v>
      </c>
      <c r="E13" s="59">
        <f t="shared" si="0"/>
        <v>8737.1136000000006</v>
      </c>
    </row>
    <row r="14" spans="1:5" x14ac:dyDescent="0.25">
      <c r="A14" s="8" t="s">
        <v>2</v>
      </c>
      <c r="B14" s="7">
        <v>345</v>
      </c>
      <c r="C14" s="59">
        <v>0.33</v>
      </c>
      <c r="D14" s="59">
        <f t="shared" si="0"/>
        <v>113.85000000000001</v>
      </c>
      <c r="E14" s="59">
        <f t="shared" si="0"/>
        <v>37.570500000000003</v>
      </c>
    </row>
    <row r="15" spans="1:5" ht="15.75" thickBot="1" x14ac:dyDescent="0.3">
      <c r="A15" s="5" t="s">
        <v>1</v>
      </c>
      <c r="B15" s="4">
        <v>3500</v>
      </c>
      <c r="C15" s="60">
        <v>0.33</v>
      </c>
      <c r="D15" s="60">
        <f t="shared" si="0"/>
        <v>1155</v>
      </c>
      <c r="E15" s="60">
        <f t="shared" si="0"/>
        <v>381.15000000000003</v>
      </c>
    </row>
    <row r="16" spans="1:5" ht="15.75" thickBot="1" x14ac:dyDescent="0.3"/>
    <row r="17" spans="1:6" ht="15.75" thickBot="1" x14ac:dyDescent="0.3">
      <c r="A17" s="2" t="s">
        <v>0</v>
      </c>
      <c r="B17" s="63">
        <f t="shared" ref="B17:E17" si="1">SUM(B3:B16)</f>
        <v>20273</v>
      </c>
      <c r="C17" s="64">
        <f t="shared" si="1"/>
        <v>20.149999999999995</v>
      </c>
      <c r="D17" s="65">
        <f t="shared" si="1"/>
        <v>16054.33</v>
      </c>
      <c r="E17" s="65">
        <f t="shared" si="1"/>
        <v>26228.176100000004</v>
      </c>
      <c r="F17" s="1"/>
    </row>
    <row r="19" spans="1:6" x14ac:dyDescent="0.25">
      <c r="A19" s="62" t="s">
        <v>21</v>
      </c>
      <c r="B19" s="55">
        <v>0.13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workbookViewId="0">
      <selection activeCell="D6" sqref="D6"/>
    </sheetView>
  </sheetViews>
  <sheetFormatPr baseColWidth="10" defaultRowHeight="15" x14ac:dyDescent="0.25"/>
  <cols>
    <col min="1" max="1" width="33" customWidth="1"/>
    <col min="2" max="5" width="16.85546875" customWidth="1"/>
  </cols>
  <sheetData>
    <row r="1" spans="1:5" ht="15.75" thickBot="1" x14ac:dyDescent="0.3">
      <c r="A1" s="18" t="s">
        <v>19</v>
      </c>
      <c r="B1" s="17" t="s">
        <v>22</v>
      </c>
      <c r="C1" s="16"/>
      <c r="D1" s="16"/>
      <c r="E1" s="16"/>
    </row>
    <row r="2" spans="1:5" ht="15.75" thickBot="1" x14ac:dyDescent="0.3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.75" thickTop="1" x14ac:dyDescent="0.25">
      <c r="A3" s="12" t="s">
        <v>13</v>
      </c>
      <c r="B3" s="11">
        <v>321</v>
      </c>
      <c r="C3" s="10">
        <v>0.14000000000000001</v>
      </c>
      <c r="D3" s="10">
        <f t="shared" ref="D3:D15" si="0">B3*C3</f>
        <v>44.940000000000005</v>
      </c>
      <c r="E3" s="10"/>
    </row>
    <row r="4" spans="1:5" x14ac:dyDescent="0.25">
      <c r="A4" s="8" t="s">
        <v>12</v>
      </c>
      <c r="B4" s="7">
        <v>3021</v>
      </c>
      <c r="C4" s="6">
        <v>1.75</v>
      </c>
      <c r="D4" s="6">
        <f t="shared" si="0"/>
        <v>5286.75</v>
      </c>
      <c r="E4" s="6"/>
    </row>
    <row r="5" spans="1:5" x14ac:dyDescent="0.25">
      <c r="A5" s="8" t="s">
        <v>11</v>
      </c>
      <c r="B5" s="7">
        <v>40</v>
      </c>
      <c r="C5" s="6">
        <v>1.75</v>
      </c>
      <c r="D5" s="6">
        <f t="shared" si="0"/>
        <v>70</v>
      </c>
      <c r="E5" s="6"/>
    </row>
    <row r="6" spans="1:5" x14ac:dyDescent="0.25">
      <c r="A6" s="8" t="s">
        <v>10</v>
      </c>
      <c r="B6" s="7">
        <v>555</v>
      </c>
      <c r="C6" s="6">
        <v>1.65</v>
      </c>
      <c r="D6" s="6">
        <f t="shared" si="0"/>
        <v>915.75</v>
      </c>
      <c r="E6" s="6"/>
    </row>
    <row r="7" spans="1:5" x14ac:dyDescent="0.25">
      <c r="A7" s="8" t="s">
        <v>9</v>
      </c>
      <c r="B7" s="7">
        <v>70</v>
      </c>
      <c r="C7" s="6">
        <v>5.67</v>
      </c>
      <c r="D7" s="6">
        <f t="shared" si="0"/>
        <v>396.9</v>
      </c>
      <c r="E7" s="6"/>
    </row>
    <row r="8" spans="1:5" x14ac:dyDescent="0.25">
      <c r="A8" s="8" t="s">
        <v>8</v>
      </c>
      <c r="B8" s="7">
        <v>2006</v>
      </c>
      <c r="C8" s="6">
        <v>0.18</v>
      </c>
      <c r="D8" s="6">
        <f t="shared" si="0"/>
        <v>361.08</v>
      </c>
      <c r="E8" s="6"/>
    </row>
    <row r="9" spans="1:5" x14ac:dyDescent="0.25">
      <c r="A9" s="8" t="s">
        <v>7</v>
      </c>
      <c r="B9" s="7">
        <v>5236</v>
      </c>
      <c r="C9" s="6">
        <v>0.08</v>
      </c>
      <c r="D9" s="6">
        <f t="shared" si="0"/>
        <v>418.88</v>
      </c>
      <c r="E9" s="6"/>
    </row>
    <row r="10" spans="1:5" x14ac:dyDescent="0.25">
      <c r="A10" s="8" t="s">
        <v>6</v>
      </c>
      <c r="B10" s="7">
        <v>634</v>
      </c>
      <c r="C10" s="6">
        <v>1.68</v>
      </c>
      <c r="D10" s="6">
        <f t="shared" si="0"/>
        <v>1065.1199999999999</v>
      </c>
      <c r="E10" s="6"/>
    </row>
    <row r="11" spans="1:5" x14ac:dyDescent="0.25">
      <c r="A11" s="8" t="s">
        <v>5</v>
      </c>
      <c r="B11" s="7">
        <v>73</v>
      </c>
      <c r="C11" s="6">
        <v>2.5</v>
      </c>
      <c r="D11" s="6">
        <f t="shared" si="0"/>
        <v>182.5</v>
      </c>
      <c r="E11" s="6"/>
    </row>
    <row r="12" spans="1:5" x14ac:dyDescent="0.25">
      <c r="A12" s="8" t="s">
        <v>4</v>
      </c>
      <c r="B12" s="7">
        <v>845</v>
      </c>
      <c r="C12" s="6">
        <v>2.5</v>
      </c>
      <c r="D12" s="6">
        <f t="shared" si="0"/>
        <v>2112.5</v>
      </c>
      <c r="E12" s="6"/>
    </row>
    <row r="13" spans="1:5" x14ac:dyDescent="0.25">
      <c r="A13" s="8" t="s">
        <v>3</v>
      </c>
      <c r="B13" s="7">
        <v>5347</v>
      </c>
      <c r="C13" s="6">
        <v>1.59</v>
      </c>
      <c r="D13" s="6">
        <f t="shared" si="0"/>
        <v>8501.73</v>
      </c>
      <c r="E13" s="6"/>
    </row>
    <row r="14" spans="1:5" x14ac:dyDescent="0.25">
      <c r="A14" s="8" t="s">
        <v>2</v>
      </c>
      <c r="B14" s="7">
        <v>365</v>
      </c>
      <c r="C14" s="6">
        <v>0.33</v>
      </c>
      <c r="D14" s="6">
        <f t="shared" si="0"/>
        <v>120.45</v>
      </c>
      <c r="E14" s="6"/>
    </row>
    <row r="15" spans="1:5" ht="15.75" thickBot="1" x14ac:dyDescent="0.3">
      <c r="A15" s="5" t="s">
        <v>1</v>
      </c>
      <c r="B15" s="4">
        <v>2345</v>
      </c>
      <c r="C15" s="3">
        <v>0.33</v>
      </c>
      <c r="D15" s="3">
        <f t="shared" si="0"/>
        <v>773.85</v>
      </c>
      <c r="E15" s="3"/>
    </row>
    <row r="16" spans="1:5" ht="15.75" thickBot="1" x14ac:dyDescent="0.3"/>
    <row r="17" spans="1:6" ht="15.75" thickBot="1" x14ac:dyDescent="0.3">
      <c r="A17" s="2" t="s">
        <v>0</v>
      </c>
      <c r="B17" s="19"/>
      <c r="C17" s="20"/>
      <c r="D17" s="21"/>
      <c r="E17" s="21"/>
      <c r="F17" s="1"/>
    </row>
    <row r="19" spans="1:6" x14ac:dyDescent="0.25">
      <c r="A19" s="22" t="s">
        <v>21</v>
      </c>
      <c r="B19" s="23">
        <v>0.21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tabSelected="1" workbookViewId="0">
      <selection activeCell="G11" sqref="G11"/>
    </sheetView>
  </sheetViews>
  <sheetFormatPr baseColWidth="10" defaultRowHeight="15" x14ac:dyDescent="0.25"/>
  <cols>
    <col min="1" max="1" width="33" customWidth="1"/>
    <col min="2" max="5" width="16.85546875" customWidth="1"/>
  </cols>
  <sheetData>
    <row r="1" spans="1:5" ht="15.75" thickBot="1" x14ac:dyDescent="0.3">
      <c r="A1" s="18" t="s">
        <v>19</v>
      </c>
      <c r="B1" s="17" t="s">
        <v>23</v>
      </c>
      <c r="C1" s="16"/>
      <c r="D1" s="16"/>
      <c r="E1" s="16"/>
    </row>
    <row r="2" spans="1:5" ht="15.75" thickBot="1" x14ac:dyDescent="0.3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.75" thickTop="1" x14ac:dyDescent="0.25">
      <c r="A3" s="12" t="s">
        <v>13</v>
      </c>
      <c r="B3" s="11">
        <v>654</v>
      </c>
      <c r="C3" s="10">
        <v>0.14000000000000001</v>
      </c>
      <c r="D3" s="10">
        <f t="shared" ref="D3:D15" si="0">B3*C3</f>
        <v>91.56</v>
      </c>
      <c r="E3" s="10"/>
    </row>
    <row r="4" spans="1:5" x14ac:dyDescent="0.25">
      <c r="A4" s="8" t="s">
        <v>12</v>
      </c>
      <c r="B4" s="7">
        <v>6456</v>
      </c>
      <c r="C4" s="6">
        <v>1.75</v>
      </c>
      <c r="D4" s="6">
        <f t="shared" si="0"/>
        <v>11298</v>
      </c>
      <c r="E4" s="6"/>
    </row>
    <row r="5" spans="1:5" x14ac:dyDescent="0.25">
      <c r="A5" s="8" t="s">
        <v>11</v>
      </c>
      <c r="B5" s="7">
        <v>87</v>
      </c>
      <c r="C5" s="6">
        <v>1.75</v>
      </c>
      <c r="D5" s="6">
        <f t="shared" si="0"/>
        <v>152.25</v>
      </c>
      <c r="E5" s="6"/>
    </row>
    <row r="6" spans="1:5" x14ac:dyDescent="0.25">
      <c r="A6" s="8" t="s">
        <v>10</v>
      </c>
      <c r="B6" s="7">
        <v>678</v>
      </c>
      <c r="C6" s="6">
        <v>1.65</v>
      </c>
      <c r="D6" s="6">
        <f t="shared" si="0"/>
        <v>1118.7</v>
      </c>
      <c r="E6" s="6"/>
    </row>
    <row r="7" spans="1:5" x14ac:dyDescent="0.25">
      <c r="A7" s="8" t="s">
        <v>9</v>
      </c>
      <c r="B7" s="7">
        <v>57</v>
      </c>
      <c r="C7" s="6">
        <v>5.67</v>
      </c>
      <c r="D7" s="6">
        <f t="shared" si="0"/>
        <v>323.19</v>
      </c>
      <c r="E7" s="6"/>
    </row>
    <row r="8" spans="1:5" x14ac:dyDescent="0.25">
      <c r="A8" s="8" t="s">
        <v>8</v>
      </c>
      <c r="B8" s="7">
        <v>999</v>
      </c>
      <c r="C8" s="6">
        <v>0.18</v>
      </c>
      <c r="D8" s="6">
        <f t="shared" si="0"/>
        <v>179.82</v>
      </c>
      <c r="E8" s="6"/>
    </row>
    <row r="9" spans="1:5" x14ac:dyDescent="0.25">
      <c r="A9" s="8" t="s">
        <v>7</v>
      </c>
      <c r="B9" s="7">
        <v>2543</v>
      </c>
      <c r="C9" s="6">
        <v>0.08</v>
      </c>
      <c r="D9" s="6">
        <f t="shared" si="0"/>
        <v>203.44</v>
      </c>
      <c r="E9" s="6"/>
    </row>
    <row r="10" spans="1:5" x14ac:dyDescent="0.25">
      <c r="A10" s="8" t="s">
        <v>6</v>
      </c>
      <c r="B10" s="9">
        <v>756</v>
      </c>
      <c r="C10" s="6">
        <v>1.68</v>
      </c>
      <c r="D10" s="6">
        <f t="shared" si="0"/>
        <v>1270.08</v>
      </c>
      <c r="E10" s="24"/>
    </row>
    <row r="11" spans="1:5" x14ac:dyDescent="0.25">
      <c r="A11" s="8" t="s">
        <v>5</v>
      </c>
      <c r="B11" s="7">
        <v>75</v>
      </c>
      <c r="C11" s="6">
        <v>2.5</v>
      </c>
      <c r="D11" s="6">
        <f t="shared" si="0"/>
        <v>187.5</v>
      </c>
      <c r="E11" s="6"/>
    </row>
    <row r="12" spans="1:5" x14ac:dyDescent="0.25">
      <c r="A12" s="8" t="s">
        <v>4</v>
      </c>
      <c r="B12" s="7">
        <v>857</v>
      </c>
      <c r="C12" s="6">
        <v>2.5</v>
      </c>
      <c r="D12" s="6">
        <f t="shared" si="0"/>
        <v>2142.5</v>
      </c>
      <c r="E12" s="6"/>
    </row>
    <row r="13" spans="1:5" x14ac:dyDescent="0.25">
      <c r="A13" s="8" t="s">
        <v>3</v>
      </c>
      <c r="B13" s="7">
        <v>7674</v>
      </c>
      <c r="C13" s="6">
        <v>1.59</v>
      </c>
      <c r="D13" s="6">
        <f t="shared" si="0"/>
        <v>12201.66</v>
      </c>
      <c r="E13" s="6"/>
    </row>
    <row r="14" spans="1:5" x14ac:dyDescent="0.25">
      <c r="A14" s="8" t="s">
        <v>2</v>
      </c>
      <c r="B14" s="7">
        <v>645</v>
      </c>
      <c r="C14" s="6">
        <v>0.33</v>
      </c>
      <c r="D14" s="6">
        <f t="shared" si="0"/>
        <v>212.85000000000002</v>
      </c>
      <c r="E14" s="6"/>
    </row>
    <row r="15" spans="1:5" ht="15.75" thickBot="1" x14ac:dyDescent="0.3">
      <c r="A15" s="5" t="s">
        <v>1</v>
      </c>
      <c r="B15" s="4">
        <v>6455</v>
      </c>
      <c r="C15" s="3">
        <v>0.33</v>
      </c>
      <c r="D15" s="3">
        <f t="shared" si="0"/>
        <v>2130.15</v>
      </c>
      <c r="E15" s="3"/>
    </row>
    <row r="16" spans="1:5" ht="15.75" thickBot="1" x14ac:dyDescent="0.3"/>
    <row r="17" spans="1:6" ht="15.75" thickBot="1" x14ac:dyDescent="0.3">
      <c r="A17" s="2" t="s">
        <v>0</v>
      </c>
      <c r="B17" s="66">
        <f t="shared" ref="B17:D17" si="1">SUM(B3:B16)</f>
        <v>27936</v>
      </c>
      <c r="C17" s="67">
        <f t="shared" si="1"/>
        <v>20.149999999999995</v>
      </c>
      <c r="D17" s="67">
        <f t="shared" si="1"/>
        <v>31511.7</v>
      </c>
      <c r="E17" s="21"/>
      <c r="F17" s="1"/>
    </row>
    <row r="19" spans="1:6" x14ac:dyDescent="0.25">
      <c r="A19" s="22" t="s">
        <v>21</v>
      </c>
      <c r="B19" s="25">
        <v>0.21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TotalesMeses">
                <anchor moveWithCells="1" sizeWithCells="1">
                  <from>
                    <xdr:col>5</xdr:col>
                    <xdr:colOff>371475</xdr:colOff>
                    <xdr:row>1</xdr:row>
                    <xdr:rowOff>190500</xdr:rowOff>
                  </from>
                  <to>
                    <xdr:col>7</xdr:col>
                    <xdr:colOff>95250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G18"/>
  <sheetViews>
    <sheetView workbookViewId="0">
      <selection activeCell="D12" sqref="D12"/>
    </sheetView>
  </sheetViews>
  <sheetFormatPr baseColWidth="10" defaultRowHeight="15" x14ac:dyDescent="0.25"/>
  <cols>
    <col min="1" max="1" width="10.7109375" customWidth="1"/>
    <col min="2" max="2" width="9.28515625" bestFit="1" customWidth="1"/>
    <col min="3" max="8" width="15" customWidth="1"/>
  </cols>
  <sheetData>
    <row r="1" spans="1:7" x14ac:dyDescent="0.25">
      <c r="A1" s="26" t="s">
        <v>17</v>
      </c>
      <c r="B1" s="27" t="s">
        <v>24</v>
      </c>
      <c r="C1" s="28" t="s">
        <v>16</v>
      </c>
      <c r="D1" s="29" t="s">
        <v>25</v>
      </c>
      <c r="E1" s="42" t="s">
        <v>26</v>
      </c>
      <c r="F1" s="42" t="s">
        <v>27</v>
      </c>
      <c r="G1" s="43" t="s">
        <v>0</v>
      </c>
    </row>
    <row r="2" spans="1:7" ht="15.75" thickBot="1" x14ac:dyDescent="0.3">
      <c r="A2" s="44" t="s">
        <v>28</v>
      </c>
      <c r="B2" s="45">
        <v>2</v>
      </c>
      <c r="C2" s="46">
        <v>5</v>
      </c>
      <c r="D2" s="3">
        <v>2.1</v>
      </c>
      <c r="E2" s="47"/>
      <c r="F2" s="3"/>
      <c r="G2" s="48"/>
    </row>
    <row r="3" spans="1:7" ht="15.75" thickBot="1" x14ac:dyDescent="0.3"/>
    <row r="4" spans="1:7" s="32" customFormat="1" ht="15.75" hidden="1" thickBot="1" x14ac:dyDescent="0.3">
      <c r="A4" s="30"/>
      <c r="B4" s="30"/>
      <c r="C4" s="31"/>
    </row>
    <row r="5" spans="1:7" ht="15.75" hidden="1" thickBot="1" x14ac:dyDescent="0.3"/>
    <row r="6" spans="1:7" x14ac:dyDescent="0.25">
      <c r="A6" s="33" t="s">
        <v>21</v>
      </c>
      <c r="B6" s="34"/>
    </row>
    <row r="7" spans="1:7" x14ac:dyDescent="0.25">
      <c r="A7" s="35" t="s">
        <v>29</v>
      </c>
      <c r="B7" s="36"/>
    </row>
    <row r="8" spans="1:7" x14ac:dyDescent="0.25">
      <c r="A8" s="35">
        <v>1</v>
      </c>
      <c r="B8" s="37">
        <v>0.18</v>
      </c>
    </row>
    <row r="9" spans="1:7" ht="15.75" thickBot="1" x14ac:dyDescent="0.3">
      <c r="A9" s="38">
        <v>2</v>
      </c>
      <c r="B9" s="39">
        <v>0.22</v>
      </c>
    </row>
    <row r="10" spans="1:7" ht="15.75" thickBot="1" x14ac:dyDescent="0.3"/>
    <row r="11" spans="1:7" ht="15.75" thickBot="1" x14ac:dyDescent="0.3">
      <c r="A11" s="40" t="s">
        <v>27</v>
      </c>
      <c r="B11" s="41">
        <v>0.1</v>
      </c>
    </row>
    <row r="18" spans="6:6" x14ac:dyDescent="0.25">
      <c r="F1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workbookViewId="0">
      <selection sqref="A1:D16"/>
    </sheetView>
  </sheetViews>
  <sheetFormatPr baseColWidth="10" defaultRowHeight="15" x14ac:dyDescent="0.25"/>
  <sheetData>
    <row r="1" spans="1:4" ht="15.75" thickBot="1" x14ac:dyDescent="0.3">
      <c r="A1" s="40"/>
      <c r="B1" s="49" t="s">
        <v>30</v>
      </c>
      <c r="C1" s="49" t="s">
        <v>31</v>
      </c>
      <c r="D1" s="50" t="s">
        <v>32</v>
      </c>
    </row>
    <row r="2" spans="1:4" x14ac:dyDescent="0.25">
      <c r="A2" s="51">
        <v>1</v>
      </c>
      <c r="B2" s="51" t="s">
        <v>33</v>
      </c>
      <c r="C2" s="51">
        <v>2345</v>
      </c>
      <c r="D2" s="51">
        <v>1342</v>
      </c>
    </row>
    <row r="3" spans="1:4" x14ac:dyDescent="0.25">
      <c r="A3" s="52">
        <v>2</v>
      </c>
      <c r="B3" s="52" t="s">
        <v>34</v>
      </c>
      <c r="C3" s="52">
        <v>3654</v>
      </c>
      <c r="D3" s="52">
        <v>1456</v>
      </c>
    </row>
    <row r="4" spans="1:4" x14ac:dyDescent="0.25">
      <c r="A4" s="52">
        <v>3</v>
      </c>
      <c r="B4" s="52" t="s">
        <v>35</v>
      </c>
      <c r="C4" s="52">
        <v>2568</v>
      </c>
      <c r="D4" s="52">
        <v>1245</v>
      </c>
    </row>
    <row r="5" spans="1:4" x14ac:dyDescent="0.25">
      <c r="A5" s="52">
        <v>4</v>
      </c>
      <c r="B5" s="52" t="s">
        <v>36</v>
      </c>
      <c r="C5" s="52">
        <v>3643</v>
      </c>
      <c r="D5" s="52">
        <v>2456</v>
      </c>
    </row>
    <row r="6" spans="1:4" x14ac:dyDescent="0.25">
      <c r="A6" s="52">
        <v>5</v>
      </c>
      <c r="B6" s="52" t="s">
        <v>37</v>
      </c>
      <c r="C6" s="52">
        <v>2986</v>
      </c>
      <c r="D6" s="52">
        <v>3244</v>
      </c>
    </row>
    <row r="7" spans="1:4" x14ac:dyDescent="0.25">
      <c r="A7" s="52">
        <v>6</v>
      </c>
      <c r="B7" s="52" t="s">
        <v>38</v>
      </c>
      <c r="C7" s="52">
        <v>4987</v>
      </c>
      <c r="D7" s="52">
        <v>2987</v>
      </c>
    </row>
    <row r="8" spans="1:4" x14ac:dyDescent="0.25">
      <c r="A8" s="52">
        <v>7</v>
      </c>
      <c r="B8" s="52" t="s">
        <v>39</v>
      </c>
      <c r="C8" s="52">
        <v>3667</v>
      </c>
      <c r="D8" s="52">
        <v>1879</v>
      </c>
    </row>
    <row r="9" spans="1:4" x14ac:dyDescent="0.25">
      <c r="A9" s="52">
        <v>8</v>
      </c>
      <c r="B9" s="52" t="s">
        <v>40</v>
      </c>
      <c r="C9" s="52">
        <v>789</v>
      </c>
      <c r="D9" s="52">
        <v>688</v>
      </c>
    </row>
    <row r="10" spans="1:4" x14ac:dyDescent="0.25">
      <c r="A10" s="52">
        <v>9</v>
      </c>
      <c r="B10" s="52" t="s">
        <v>41</v>
      </c>
      <c r="C10" s="52">
        <v>2568</v>
      </c>
      <c r="D10" s="52">
        <v>967</v>
      </c>
    </row>
    <row r="11" spans="1:4" x14ac:dyDescent="0.25">
      <c r="A11" s="52">
        <v>10</v>
      </c>
      <c r="B11" s="52" t="s">
        <v>42</v>
      </c>
      <c r="C11" s="52">
        <v>1200</v>
      </c>
      <c r="D11" s="52">
        <v>800</v>
      </c>
    </row>
    <row r="12" spans="1:4" x14ac:dyDescent="0.25">
      <c r="A12" s="52">
        <v>11</v>
      </c>
      <c r="B12" s="52" t="s">
        <v>43</v>
      </c>
      <c r="C12" s="52">
        <v>2454</v>
      </c>
      <c r="D12" s="52"/>
    </row>
    <row r="13" spans="1:4" x14ac:dyDescent="0.25">
      <c r="A13" s="52">
        <v>12</v>
      </c>
      <c r="B13" s="52" t="s">
        <v>44</v>
      </c>
      <c r="C13" s="52">
        <v>1133</v>
      </c>
      <c r="D13" s="52"/>
    </row>
    <row r="15" spans="1:4" x14ac:dyDescent="0.25">
      <c r="B15" s="53"/>
    </row>
    <row r="16" spans="1:4" x14ac:dyDescent="0.25">
      <c r="B16" s="52" t="str">
        <f ca="1">INDEX(A2:C13,MATCH(MONTH(TODAY()),A2:A13),2)</f>
        <v>Septiembre</v>
      </c>
      <c r="C16" s="52">
        <f ca="1">INDEX(A2:D13,MATCH(B16,B2:B13,0),3)</f>
        <v>2568</v>
      </c>
      <c r="D16" s="54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2012-09-11T02:18:41Z</dcterms:created>
  <dcterms:modified xsi:type="dcterms:W3CDTF">2022-09-26T02:00:45Z</dcterms:modified>
</cp:coreProperties>
</file>
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DUCYT\Documents\Meybell_git\ManejoSoftwareSM\rq22004\"/>
    </mc:Choice>
  </mc:AlternateContent>
  <xr:revisionPtr revIDLastSave="0" documentId="13_ncr:1_{6C6B8E3E-F305-497A-9A17-50B05ED05150}" xr6:coauthVersionLast="47" xr6:coauthVersionMax="47" xr10:uidLastSave="{00000000-0000-0000-0000-000000000000}"/>
  <bookViews>
    <workbookView xWindow="-120" yWindow="-120" windowWidth="20730" windowHeight="11160" activeTab="1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externalReferences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3" l="1"/>
  <c r="D17" i="3"/>
  <c r="B17" i="3"/>
  <c r="E17" i="3"/>
  <c r="E4" i="3"/>
  <c r="E5" i="3"/>
  <c r="E6" i="3"/>
  <c r="E7" i="3"/>
  <c r="E8" i="3"/>
  <c r="E9" i="3"/>
  <c r="E10" i="3"/>
  <c r="E11" i="3"/>
  <c r="E12" i="3"/>
  <c r="E13" i="3"/>
  <c r="E14" i="3"/>
  <c r="E15" i="3"/>
  <c r="E3" i="3"/>
  <c r="E4" i="2"/>
  <c r="E5" i="2"/>
  <c r="E8" i="2"/>
  <c r="E9" i="2"/>
  <c r="A2" i="2"/>
  <c r="E2" i="2" s="1"/>
  <c r="A3" i="2"/>
  <c r="E3" i="2" s="1"/>
  <c r="A4" i="2"/>
  <c r="A5" i="2"/>
  <c r="A6" i="2"/>
  <c r="E6" i="2" s="1"/>
  <c r="A7" i="2"/>
  <c r="E7" i="2" s="1"/>
  <c r="A8" i="2"/>
  <c r="A9" i="2"/>
  <c r="A10" i="2"/>
  <c r="E10" i="2" s="1"/>
  <c r="A1" i="2"/>
  <c r="E1" i="2" s="1"/>
  <c r="K11" i="1"/>
  <c r="K4" i="1"/>
  <c r="K5" i="1"/>
  <c r="K6" i="1"/>
  <c r="K7" i="1"/>
  <c r="K8" i="1"/>
  <c r="K9" i="1"/>
  <c r="K10" i="1"/>
  <c r="J11" i="1"/>
  <c r="J4" i="1"/>
  <c r="J5" i="1"/>
  <c r="J6" i="1"/>
  <c r="J7" i="1"/>
  <c r="J8" i="1"/>
  <c r="J9" i="1"/>
  <c r="J10" i="1"/>
  <c r="I4" i="1"/>
  <c r="I5" i="1"/>
  <c r="I6" i="1"/>
  <c r="I7" i="1"/>
  <c r="I8" i="1"/>
  <c r="I9" i="1"/>
  <c r="I10" i="1"/>
  <c r="I11" i="1"/>
  <c r="H4" i="1"/>
  <c r="H5" i="1"/>
  <c r="H6" i="1"/>
  <c r="H7" i="1"/>
  <c r="H8" i="1"/>
  <c r="H9" i="1"/>
  <c r="H10" i="1"/>
  <c r="H11" i="1"/>
  <c r="G4" i="1"/>
  <c r="G5" i="1"/>
  <c r="G6" i="1"/>
  <c r="G7" i="1"/>
  <c r="G8" i="1"/>
  <c r="G9" i="1"/>
  <c r="G10" i="1"/>
  <c r="G11" i="1"/>
  <c r="F4" i="1"/>
  <c r="F5" i="1"/>
  <c r="F6" i="1"/>
  <c r="F7" i="1"/>
  <c r="F8" i="1"/>
  <c r="F9" i="1"/>
  <c r="F10" i="1"/>
  <c r="F11" i="1"/>
  <c r="E4" i="1"/>
  <c r="E5" i="1"/>
  <c r="E6" i="1"/>
  <c r="E7" i="1"/>
  <c r="E8" i="1"/>
  <c r="E9" i="1"/>
  <c r="E10" i="1"/>
  <c r="E11" i="1"/>
  <c r="D4" i="1"/>
  <c r="D5" i="1"/>
  <c r="D6" i="1"/>
  <c r="D7" i="1"/>
  <c r="D8" i="1"/>
  <c r="D9" i="1"/>
  <c r="D10" i="1"/>
  <c r="D11" i="1"/>
  <c r="C4" i="1"/>
  <c r="C5" i="1"/>
  <c r="C6" i="1"/>
  <c r="C7" i="1"/>
  <c r="C8" i="1"/>
  <c r="C9" i="1"/>
  <c r="C10" i="1"/>
  <c r="C11" i="1"/>
  <c r="B4" i="1"/>
  <c r="B5" i="1"/>
  <c r="B6" i="1"/>
  <c r="B7" i="1"/>
  <c r="B8" i="1"/>
  <c r="B9" i="1"/>
  <c r="B10" i="1"/>
  <c r="B11" i="1"/>
  <c r="G3" i="1"/>
  <c r="H3" i="1"/>
  <c r="I3" i="1"/>
  <c r="J3" i="1"/>
  <c r="K3" i="1"/>
  <c r="F3" i="1"/>
  <c r="E3" i="1"/>
  <c r="D3" i="1"/>
  <c r="C3" i="1"/>
  <c r="B3" i="1"/>
  <c r="O10" i="1"/>
  <c r="K2" i="1"/>
  <c r="J2" i="1"/>
  <c r="I2" i="1"/>
  <c r="H2" i="1"/>
  <c r="G2" i="1"/>
  <c r="C2" i="1"/>
  <c r="F2" i="1"/>
  <c r="E2" i="1"/>
  <c r="D2" i="1"/>
  <c r="B2" i="1"/>
  <c r="F11" i="5"/>
  <c r="K10" i="5"/>
  <c r="J10" i="5"/>
  <c r="I8" i="5"/>
  <c r="I10" i="5"/>
  <c r="N10" i="5"/>
  <c r="F6" i="5"/>
  <c r="F10" i="5"/>
  <c r="F7" i="5"/>
  <c r="F8" i="5"/>
  <c r="F9" i="5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<sst xmlns="http://schemas.openxmlformats.org/spreadsheetml/2006/main" count="75" uniqueCount="57">
  <si>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</si>
  <si>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</si>
  <si>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</si>
  <si>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</si>
  <si>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</si>
  <si>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</si>
  <si>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</si>
  <si>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</si>
  <si>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</si>
  <si>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</si>
  <si>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</si>
  <si>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</si>
  <si>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</si>
  <si>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</si>
  <si>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</si>
  <si>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</si>
  <si>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</si>
  <si>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</si>
  <si>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</si>
  <si>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</si>
  <si>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</si>
  <si>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</si>
  <si>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</si>
  <si>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</si>
  <si>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</si>
  <si>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</si>
  <si>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</si>
  <si>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</si>
  <si>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</si>
  <si>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</si>
  <si>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</si>
  <si>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</si>
  <si>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</si>
  <si>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</si>
  <si>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</si>
  <si>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</si>
  <si>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</si>
  <si>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</si>
  <si>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</si>
  <si>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</si>
  <si>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SUMA DE NOTAS DE LA SEMANA</t>
  </si>
  <si>
    <t>MATE</t>
  </si>
  <si>
    <t>FISICA</t>
  </si>
  <si>
    <t>HISTORIA</t>
  </si>
  <si>
    <t>MSM</t>
  </si>
  <si>
    <t>PROGRA</t>
  </si>
  <si>
    <t>total:</t>
  </si>
  <si>
    <t>esta macro sirve para sumar notas de los parciales de la semana</t>
  </si>
  <si>
    <t>suma con iva</t>
  </si>
  <si>
    <t>MEYBELL</t>
  </si>
  <si>
    <t>JACQUELINE</t>
  </si>
  <si>
    <t>RAMIREZ</t>
  </si>
  <si>
    <t>QUINTANILLA</t>
  </si>
  <si>
    <t>JUAN</t>
  </si>
  <si>
    <t>CARLOS</t>
  </si>
  <si>
    <t>PEREZ</t>
  </si>
  <si>
    <t>JUAREZ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</si>
</sst>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b/>
      <i/>
      <u/>
      <sz val="14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 tint="4.9989318521683403E-2"/>
      <name val="Calibri"/>
      <family val="2"/>
      <scheme val="minor"/>
    </font>
    <font>
      <b/>
      <sz val="14"/>
      <color theme="1"/>
      <name val="Arial Black"/>
      <family val="2"/>
    </font>
    <font>
      <i/>
      <sz val="11"/>
      <color rgb="FFFF0000"/>
      <name val="Bahnschrift SemiBold Condensed"/>
      <family val="2"/>
    </font>
    <font>
      <u/>
      <sz val="8"/>
      <color rgb="FF7030A0"/>
      <name val="Castellar"/>
      <family val="1"/>
    </font>
    <font>
      <u val="double"/>
      <sz val="20"/>
      <name val="Kristen ITC"/>
      <family val="4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3999450666829432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49" fontId="2" fillId="3" borderId="19" xfId="0" applyNumberFormat="1" applyFont="1" applyFill="1" applyBorder="1"/>
    <xf numFmtId="165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5" fontId="4" fillId="4" borderId="22" xfId="0" applyNumberFormat="1" applyFont="1" applyFill="1" applyBorder="1" applyAlignment="1">
      <alignment horizontal="center" vertical="center"/>
    </xf>
    <xf numFmtId="3" fontId="6" fillId="0" borderId="14" xfId="0" applyNumberFormat="1" applyFont="1" applyBorder="1" applyAlignment="1">
      <alignment horizontal="center" vertical="center"/>
    </xf>
    <xf numFmtId="0" fontId="0" fillId="7" borderId="0" xfId="0" applyFill="1"/>
    <xf numFmtId="0" fontId="0" fillId="0" borderId="23" xfId="0" applyBorder="1" applyAlignment="1">
      <alignment horizontal="center"/>
    </xf>
    <xf numFmtId="0" fontId="0" fillId="0" borderId="24" xfId="0" applyBorder="1"/>
    <xf numFmtId="0" fontId="8" fillId="0" borderId="0" xfId="0" applyFont="1"/>
    <xf numFmtId="0" fontId="7" fillId="8" borderId="0" xfId="0" applyFont="1" applyFill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" fontId="2" fillId="0" borderId="14" xfId="1" applyNumberFormat="1" applyFont="1" applyBorder="1" applyAlignment="1">
      <alignment horizontal="center"/>
    </xf>
    <xf numFmtId="1" fontId="2" fillId="0" borderId="3" xfId="1" applyNumberFormat="1" applyFont="1" applyBorder="1" applyAlignment="1">
      <alignment horizontal="center"/>
    </xf>
    <xf numFmtId="1" fontId="2" fillId="0" borderId="4" xfId="1" applyNumberFormat="1" applyFont="1" applyBorder="1" applyAlignment="1">
      <alignment horizontal="center"/>
    </xf>
    <xf numFmtId="1" fontId="0" fillId="0" borderId="15" xfId="0" applyNumberFormat="1" applyBorder="1"/>
    <xf numFmtId="0" fontId="0" fillId="0" borderId="16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1" fontId="0" fillId="0" borderId="17" xfId="0" applyNumberFormat="1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49" fontId="0" fillId="0" borderId="6" xfId="0" applyNumberFormat="1" applyBorder="1" applyAlignment="1">
      <alignment horizontal="center"/>
    </xf>
    <xf numFmtId="165" fontId="4" fillId="4" borderId="25" xfId="0" applyNumberFormat="1" applyFont="1" applyFill="1" applyBorder="1" applyAlignment="1">
      <alignment horizontal="center" vertical="center"/>
    </xf>
    <xf numFmtId="0" fontId="4" fillId="6" borderId="26" xfId="0" applyFont="1" applyFill="1" applyBorder="1" applyAlignment="1">
      <alignment horizontal="center" vertical="center"/>
    </xf>
    <xf numFmtId="0" fontId="4" fillId="6" borderId="27" xfId="0" applyFont="1" applyFill="1" applyBorder="1" applyAlignment="1">
      <alignment horizontal="center" vertical="center"/>
    </xf>
    <xf numFmtId="0" fontId="4" fillId="6" borderId="28" xfId="0" applyFont="1" applyFill="1" applyBorder="1" applyAlignment="1">
      <alignment horizontal="center" vertical="center"/>
    </xf>
    <xf numFmtId="0" fontId="2" fillId="10" borderId="1" xfId="0" applyFont="1" applyFill="1" applyBorder="1"/>
    <xf numFmtId="0" fontId="0" fillId="12" borderId="0" xfId="0" applyFill="1"/>
    <xf numFmtId="0" fontId="0" fillId="11" borderId="1" xfId="0" applyFill="1" applyBorder="1"/>
    <xf numFmtId="0" fontId="10" fillId="13" borderId="1" xfId="0" applyFont="1" applyFill="1" applyBorder="1"/>
    <xf numFmtId="0" fontId="11" fillId="14" borderId="1" xfId="0" applyFont="1" applyFill="1" applyBorder="1"/>
    <xf numFmtId="0" fontId="12" fillId="15" borderId="1" xfId="0" applyFont="1" applyFill="1" applyBorder="1"/>
    <xf numFmtId="0" fontId="13" fillId="16" borderId="1" xfId="0" applyFont="1" applyFill="1" applyBorder="1"/>
    <xf numFmtId="0" fontId="0" fillId="0" borderId="5" xfId="0" applyBorder="1"/>
    <xf numFmtId="0" fontId="0" fillId="0" borderId="23" xfId="0" applyBorder="1"/>
    <xf numFmtId="0" fontId="2" fillId="0" borderId="0" xfId="0" applyFont="1"/>
    <xf numFmtId="0" fontId="9" fillId="9" borderId="1" xfId="0" applyFont="1" applyFill="1" applyBorder="1"/>
    <xf numFmtId="0" fontId="0" fillId="0" borderId="0" xfId="0" applyAlignment="1">
      <alignment horizontal="left" indent="1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3</xdr:row>
          <xdr:rowOff>28575</xdr:rowOff>
        </xdr:from>
        <xdr:to>
          <xdr:col>14</xdr:col>
          <xdr:colOff>409575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714375</xdr:colOff>
          <xdr:row>10</xdr:row>
          <xdr:rowOff>47625</xdr:rowOff>
        </xdr:from>
        <xdr:to>
          <xdr:col>14</xdr:col>
          <xdr:colOff>638175</xdr:colOff>
          <xdr:row>12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9525</xdr:rowOff>
        </xdr:from>
        <xdr:to>
          <xdr:col>7</xdr:col>
          <xdr:colOff>190500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6</xdr:row>
          <xdr:rowOff>133350</xdr:rowOff>
        </xdr:from>
        <xdr:to>
          <xdr:col>7</xdr:col>
          <xdr:colOff>276225</xdr:colOff>
          <xdr:row>8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</xdr:row>
          <xdr:rowOff>38100</xdr:rowOff>
        </xdr:from>
        <xdr:to>
          <xdr:col>7</xdr:col>
          <xdr:colOff>390525</xdr:colOff>
          <xdr:row>6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7</xdr:row>
          <xdr:rowOff>57150</xdr:rowOff>
        </xdr:from>
        <xdr:to>
          <xdr:col>7</xdr:col>
          <xdr:colOff>590550</xdr:colOff>
          <xdr:row>10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 adecuado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11</xdr:row>
          <xdr:rowOff>28575</xdr:rowOff>
        </xdr:from>
        <xdr:to>
          <xdr:col>7</xdr:col>
          <xdr:colOff>742950</xdr:colOff>
          <xdr:row>13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SUMADELIVA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15</xdr:row>
          <xdr:rowOff>76200</xdr:rowOff>
        </xdr:from>
        <xdr:to>
          <xdr:col>7</xdr:col>
          <xdr:colOff>390525</xdr:colOff>
          <xdr:row>17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 B, C, 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2</xdr:row>
          <xdr:rowOff>76200</xdr:rowOff>
        </xdr:from>
        <xdr:to>
          <xdr:col>7</xdr:col>
          <xdr:colOff>552450</xdr:colOff>
          <xdr:row>5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CREATIVIDAD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9</xdr:row>
          <xdr:rowOff>28575</xdr:rowOff>
        </xdr:from>
        <xdr:to>
          <xdr:col>11</xdr:col>
          <xdr:colOff>695325</xdr:colOff>
          <xdr:row>10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COLOR"/>
      <definedName name="formato"/>
      <definedName name="FORMATOADECUADO"/>
      <definedName name="IVA"/>
      <definedName name="JJJJ"/>
      <definedName name="multii"/>
      <definedName name="QQQQ"/>
      <definedName name="sumadeIVA"/>
      <definedName name="sumahoorizontal"/>
      <definedName name="SUMASS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O14"/>
  <sheetViews>
    <sheetView workbookViewId="0">
      <selection activeCell="H17" sqref="H17"/>
    </sheetView>
  </sheetViews>
  <sheetFormatPr baseColWidth="10" defaultRowHeight="15" x14ac:dyDescent="0.25"/>
  <cols>
    <col min="2" max="2" width="11.85546875" bestFit="1" customWidth="1"/>
  </cols>
  <sheetData>
    <row r="1" spans="1:15" ht="15.75" thickBot="1" x14ac:dyDescent="0.3">
      <c r="A1" s="5" t="s">
        <v>0</v>
      </c>
      <c r="B1" s="39">
        <v>1</v>
      </c>
      <c r="C1" s="40">
        <v>2</v>
      </c>
      <c r="D1" s="40">
        <v>3</v>
      </c>
      <c r="E1" s="40">
        <v>4</v>
      </c>
      <c r="F1" s="40">
        <v>5</v>
      </c>
      <c r="G1" s="40">
        <v>6</v>
      </c>
      <c r="H1" s="40">
        <v>7</v>
      </c>
      <c r="I1" s="40">
        <v>8</v>
      </c>
      <c r="J1" s="40">
        <v>9</v>
      </c>
      <c r="K1" s="41">
        <v>10</v>
      </c>
    </row>
    <row r="2" spans="1:15" x14ac:dyDescent="0.25">
      <c r="A2" s="36">
        <v>1</v>
      </c>
      <c r="B2" s="3">
        <f t="shared" ref="B2:K2" si="0">$A2*B$1</f>
        <v>1</v>
      </c>
      <c r="C2" s="3">
        <f t="shared" si="0"/>
        <v>2</v>
      </c>
      <c r="D2" s="4">
        <f t="shared" si="0"/>
        <v>3</v>
      </c>
      <c r="E2" s="4">
        <f t="shared" si="0"/>
        <v>4</v>
      </c>
      <c r="F2" s="4">
        <f t="shared" si="0"/>
        <v>5</v>
      </c>
      <c r="G2" s="4">
        <f t="shared" si="0"/>
        <v>6</v>
      </c>
      <c r="H2" s="4">
        <f t="shared" si="0"/>
        <v>7</v>
      </c>
      <c r="I2" s="4">
        <f t="shared" si="0"/>
        <v>8</v>
      </c>
      <c r="J2" s="4">
        <f t="shared" si="0"/>
        <v>9</v>
      </c>
      <c r="K2" s="4">
        <f t="shared" si="0"/>
        <v>10</v>
      </c>
    </row>
    <row r="3" spans="1:15" x14ac:dyDescent="0.25">
      <c r="A3" s="37">
        <v>2</v>
      </c>
      <c r="B3" s="4">
        <f>$A3*B$1</f>
        <v>2</v>
      </c>
      <c r="C3" s="4">
        <f>$A3*C$1</f>
        <v>4</v>
      </c>
      <c r="D3" s="4">
        <f>$A3*D$1</f>
        <v>6</v>
      </c>
      <c r="E3" s="4">
        <f>$A3*E$1</f>
        <v>8</v>
      </c>
      <c r="F3" s="4">
        <f>$A3*F$1</f>
        <v>10</v>
      </c>
      <c r="G3" s="4">
        <f t="shared" ref="G3:K11" si="1">$A3*G$1</f>
        <v>12</v>
      </c>
      <c r="H3" s="4">
        <f t="shared" si="1"/>
        <v>14</v>
      </c>
      <c r="I3" s="4">
        <f t="shared" si="1"/>
        <v>16</v>
      </c>
      <c r="J3" s="4">
        <f t="shared" si="1"/>
        <v>18</v>
      </c>
      <c r="K3" s="4">
        <f t="shared" si="1"/>
        <v>20</v>
      </c>
    </row>
    <row r="4" spans="1:15" x14ac:dyDescent="0.25">
      <c r="A4" s="37">
        <v>3</v>
      </c>
      <c r="B4" s="4">
        <f t="shared" ref="B4:F11" si="2">$A4*B$1</f>
        <v>3</v>
      </c>
      <c r="C4" s="4">
        <f t="shared" si="2"/>
        <v>6</v>
      </c>
      <c r="D4" s="4">
        <f t="shared" si="2"/>
        <v>9</v>
      </c>
      <c r="E4" s="4">
        <f t="shared" si="2"/>
        <v>12</v>
      </c>
      <c r="F4" s="4">
        <f t="shared" si="2"/>
        <v>15</v>
      </c>
      <c r="G4" s="4">
        <f t="shared" si="1"/>
        <v>18</v>
      </c>
      <c r="H4" s="4">
        <f t="shared" si="1"/>
        <v>21</v>
      </c>
      <c r="I4" s="4">
        <f t="shared" si="1"/>
        <v>24</v>
      </c>
      <c r="J4" s="4">
        <f t="shared" si="1"/>
        <v>27</v>
      </c>
      <c r="K4" s="4">
        <f t="shared" si="1"/>
        <v>30</v>
      </c>
    </row>
    <row r="5" spans="1:15" x14ac:dyDescent="0.25">
      <c r="A5" s="37">
        <v>4</v>
      </c>
      <c r="B5" s="4">
        <f t="shared" si="2"/>
        <v>4</v>
      </c>
      <c r="C5" s="4">
        <f t="shared" si="2"/>
        <v>8</v>
      </c>
      <c r="D5" s="4">
        <f t="shared" si="2"/>
        <v>12</v>
      </c>
      <c r="E5" s="4">
        <f t="shared" si="2"/>
        <v>16</v>
      </c>
      <c r="F5" s="4">
        <f t="shared" si="2"/>
        <v>20</v>
      </c>
      <c r="G5" s="4">
        <f t="shared" si="1"/>
        <v>24</v>
      </c>
      <c r="H5" s="4">
        <f t="shared" si="1"/>
        <v>28</v>
      </c>
      <c r="I5" s="4">
        <f t="shared" si="1"/>
        <v>32</v>
      </c>
      <c r="J5" s="4">
        <f t="shared" si="1"/>
        <v>36</v>
      </c>
      <c r="K5" s="4">
        <f t="shared" si="1"/>
        <v>40</v>
      </c>
    </row>
    <row r="6" spans="1:15" x14ac:dyDescent="0.25">
      <c r="A6" s="37">
        <v>5</v>
      </c>
      <c r="B6" s="4">
        <f t="shared" si="2"/>
        <v>5</v>
      </c>
      <c r="C6" s="4">
        <f t="shared" si="2"/>
        <v>10</v>
      </c>
      <c r="D6" s="4">
        <f t="shared" si="2"/>
        <v>15</v>
      </c>
      <c r="E6" s="4">
        <f t="shared" si="2"/>
        <v>20</v>
      </c>
      <c r="F6" s="4">
        <f t="shared" si="2"/>
        <v>25</v>
      </c>
      <c r="G6" s="4">
        <f t="shared" si="1"/>
        <v>30</v>
      </c>
      <c r="H6" s="4">
        <f t="shared" si="1"/>
        <v>35</v>
      </c>
      <c r="I6" s="4">
        <f t="shared" si="1"/>
        <v>40</v>
      </c>
      <c r="J6" s="4">
        <f t="shared" si="1"/>
        <v>45</v>
      </c>
      <c r="K6" s="4">
        <f t="shared" si="1"/>
        <v>50</v>
      </c>
    </row>
    <row r="7" spans="1:15" x14ac:dyDescent="0.25">
      <c r="A7" s="37">
        <v>6</v>
      </c>
      <c r="B7" s="4">
        <f t="shared" si="2"/>
        <v>6</v>
      </c>
      <c r="C7" s="4">
        <f t="shared" si="2"/>
        <v>12</v>
      </c>
      <c r="D7" s="4">
        <f t="shared" si="2"/>
        <v>18</v>
      </c>
      <c r="E7" s="4">
        <f t="shared" si="2"/>
        <v>24</v>
      </c>
      <c r="F7" s="4">
        <f t="shared" si="2"/>
        <v>30</v>
      </c>
      <c r="G7" s="4">
        <f t="shared" si="1"/>
        <v>36</v>
      </c>
      <c r="H7" s="4">
        <f t="shared" si="1"/>
        <v>42</v>
      </c>
      <c r="I7" s="4">
        <f t="shared" si="1"/>
        <v>48</v>
      </c>
      <c r="J7" s="4">
        <f t="shared" si="1"/>
        <v>54</v>
      </c>
      <c r="K7" s="4">
        <f t="shared" si="1"/>
        <v>60</v>
      </c>
    </row>
    <row r="8" spans="1:15" x14ac:dyDescent="0.25">
      <c r="A8" s="37">
        <v>7</v>
      </c>
      <c r="B8" s="4">
        <f t="shared" si="2"/>
        <v>7</v>
      </c>
      <c r="C8" s="4">
        <f t="shared" si="2"/>
        <v>14</v>
      </c>
      <c r="D8" s="4">
        <f t="shared" si="2"/>
        <v>21</v>
      </c>
      <c r="E8" s="4">
        <f t="shared" si="2"/>
        <v>28</v>
      </c>
      <c r="F8" s="4">
        <f t="shared" si="2"/>
        <v>35</v>
      </c>
      <c r="G8" s="4">
        <f t="shared" si="1"/>
        <v>42</v>
      </c>
      <c r="H8" s="4">
        <f t="shared" si="1"/>
        <v>49</v>
      </c>
      <c r="I8" s="4">
        <f t="shared" si="1"/>
        <v>56</v>
      </c>
      <c r="J8" s="4">
        <f t="shared" si="1"/>
        <v>63</v>
      </c>
      <c r="K8" s="4">
        <f t="shared" si="1"/>
        <v>70</v>
      </c>
    </row>
    <row r="9" spans="1:15" x14ac:dyDescent="0.25">
      <c r="A9" s="37">
        <v>8</v>
      </c>
      <c r="B9" s="4">
        <f t="shared" si="2"/>
        <v>8</v>
      </c>
      <c r="C9" s="4">
        <f t="shared" si="2"/>
        <v>16</v>
      </c>
      <c r="D9" s="4">
        <f t="shared" si="2"/>
        <v>24</v>
      </c>
      <c r="E9" s="4">
        <f t="shared" si="2"/>
        <v>32</v>
      </c>
      <c r="F9" s="4">
        <f t="shared" si="2"/>
        <v>40</v>
      </c>
      <c r="G9" s="4">
        <f t="shared" si="1"/>
        <v>48</v>
      </c>
      <c r="H9" s="4">
        <f t="shared" si="1"/>
        <v>56</v>
      </c>
      <c r="I9" s="4">
        <f t="shared" si="1"/>
        <v>64</v>
      </c>
      <c r="J9" s="4">
        <f t="shared" si="1"/>
        <v>72</v>
      </c>
      <c r="K9" s="4">
        <f t="shared" si="1"/>
        <v>80</v>
      </c>
    </row>
    <row r="10" spans="1:15" x14ac:dyDescent="0.25">
      <c r="A10" s="37">
        <v>9</v>
      </c>
      <c r="B10" s="4">
        <f t="shared" si="2"/>
        <v>9</v>
      </c>
      <c r="C10" s="4">
        <f t="shared" si="2"/>
        <v>18</v>
      </c>
      <c r="D10" s="4">
        <f t="shared" si="2"/>
        <v>27</v>
      </c>
      <c r="E10" s="4">
        <f t="shared" si="2"/>
        <v>36</v>
      </c>
      <c r="F10" s="4">
        <f t="shared" si="2"/>
        <v>45</v>
      </c>
      <c r="G10" s="4">
        <f t="shared" si="1"/>
        <v>54</v>
      </c>
      <c r="H10" s="4">
        <f t="shared" si="1"/>
        <v>63</v>
      </c>
      <c r="I10" s="4">
        <f t="shared" si="1"/>
        <v>72</v>
      </c>
      <c r="J10" s="4">
        <f t="shared" si="1"/>
        <v>81</v>
      </c>
      <c r="K10" s="4">
        <f t="shared" si="1"/>
        <v>90</v>
      </c>
      <c r="O10">
        <f>$A10*O$1</f>
        <v>0</v>
      </c>
    </row>
    <row r="11" spans="1:15" ht="15.75" thickBot="1" x14ac:dyDescent="0.3">
      <c r="A11" s="38">
        <v>10</v>
      </c>
      <c r="B11" s="4">
        <f t="shared" si="2"/>
        <v>10</v>
      </c>
      <c r="C11" s="4">
        <f t="shared" si="2"/>
        <v>20</v>
      </c>
      <c r="D11" s="4">
        <f t="shared" si="2"/>
        <v>30</v>
      </c>
      <c r="E11" s="4">
        <f t="shared" si="2"/>
        <v>40</v>
      </c>
      <c r="F11" s="4">
        <f t="shared" si="2"/>
        <v>50</v>
      </c>
      <c r="G11" s="4">
        <f t="shared" si="1"/>
        <v>60</v>
      </c>
      <c r="H11" s="4">
        <f t="shared" si="1"/>
        <v>70</v>
      </c>
      <c r="I11" s="4">
        <f t="shared" si="1"/>
        <v>80</v>
      </c>
      <c r="J11" s="4">
        <f t="shared" si="1"/>
        <v>90</v>
      </c>
      <c r="K11" s="4">
        <f t="shared" si="1"/>
        <v>100</v>
      </c>
    </row>
    <row r="13" spans="1:15" x14ac:dyDescent="0.25">
      <c r="A13" s="65" t="s">
        <v>1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</row>
    <row r="14" spans="1:15" x14ac:dyDescent="0.25">
      <c r="A14" s="6" t="s">
        <v>2</v>
      </c>
      <c r="B14" s="6"/>
      <c r="C14" s="6"/>
      <c r="D14" s="6"/>
      <c r="E14" s="6"/>
      <c r="F14" s="6"/>
      <c r="G14" s="6"/>
      <c r="H14" s="6"/>
      <c r="I14" s="6"/>
      <c r="J14" s="6"/>
      <c r="K14" s="6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multii">
                <anchor moveWithCells="1" sizeWithCells="1">
                  <from>
                    <xdr:col>12</xdr:col>
                    <xdr:colOff>533400</xdr:colOff>
                    <xdr:row>3</xdr:row>
                    <xdr:rowOff>28575</xdr:rowOff>
                  </from>
                  <to>
                    <xdr:col>14</xdr:col>
                    <xdr:colOff>409575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formato">
                <anchor moveWithCells="1" sizeWithCells="1">
                  <from>
                    <xdr:col>12</xdr:col>
                    <xdr:colOff>714375</xdr:colOff>
                    <xdr:row>10</xdr:row>
                    <xdr:rowOff>47625</xdr:rowOff>
                  </from>
                  <to>
                    <xdr:col>14</xdr:col>
                    <xdr:colOff>638175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dimension ref="A1:E15"/>
  <sheetViews>
    <sheetView tabSelected="1" workbookViewId="0">
      <selection activeCell="J8" sqref="J8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1" customWidth="1"/>
    <col min="4" max="4" width="4.140625" customWidth="1"/>
    <col min="5" max="5" width="7.7109375" style="8" customWidth="1"/>
  </cols>
  <sheetData>
    <row r="1" spans="1:5" ht="15.75" thickBot="1" x14ac:dyDescent="0.3">
      <c r="A1" s="42">
        <f>$E$12</f>
        <v>2</v>
      </c>
      <c r="B1" s="43" t="s">
        <v>3</v>
      </c>
      <c r="C1" s="43">
        <v>1</v>
      </c>
      <c r="D1" s="44" t="s">
        <v>5</v>
      </c>
      <c r="E1" s="45">
        <f>A1*C1</f>
        <v>2</v>
      </c>
    </row>
    <row r="2" spans="1:5" ht="15.75" thickBot="1" x14ac:dyDescent="0.3">
      <c r="A2" s="42">
        <f t="shared" ref="A2:A10" si="0">$E$12</f>
        <v>2</v>
      </c>
      <c r="B2" s="46" t="s">
        <v>3</v>
      </c>
      <c r="C2" s="46">
        <v>2</v>
      </c>
      <c r="D2" s="47" t="s">
        <v>5</v>
      </c>
      <c r="E2" s="45">
        <f t="shared" ref="E2:E10" si="1">A2*C2</f>
        <v>4</v>
      </c>
    </row>
    <row r="3" spans="1:5" ht="15.75" thickBot="1" x14ac:dyDescent="0.3">
      <c r="A3" s="42">
        <f t="shared" si="0"/>
        <v>2</v>
      </c>
      <c r="B3" s="46" t="s">
        <v>3</v>
      </c>
      <c r="C3" s="46">
        <v>3</v>
      </c>
      <c r="D3" s="47" t="s">
        <v>5</v>
      </c>
      <c r="E3" s="45">
        <f t="shared" si="1"/>
        <v>6</v>
      </c>
    </row>
    <row r="4" spans="1:5" ht="15.75" thickBot="1" x14ac:dyDescent="0.3">
      <c r="A4" s="42">
        <f t="shared" si="0"/>
        <v>2</v>
      </c>
      <c r="B4" s="46" t="s">
        <v>3</v>
      </c>
      <c r="C4" s="46">
        <v>4</v>
      </c>
      <c r="D4" s="47" t="s">
        <v>5</v>
      </c>
      <c r="E4" s="45">
        <f t="shared" si="1"/>
        <v>8</v>
      </c>
    </row>
    <row r="5" spans="1:5" ht="15.75" thickBot="1" x14ac:dyDescent="0.3">
      <c r="A5" s="42">
        <f t="shared" si="0"/>
        <v>2</v>
      </c>
      <c r="B5" s="46" t="s">
        <v>3</v>
      </c>
      <c r="C5" s="46">
        <v>5</v>
      </c>
      <c r="D5" s="47" t="s">
        <v>5</v>
      </c>
      <c r="E5" s="45">
        <f t="shared" si="1"/>
        <v>10</v>
      </c>
    </row>
    <row r="6" spans="1:5" ht="15.75" thickBot="1" x14ac:dyDescent="0.3">
      <c r="A6" s="42">
        <f t="shared" si="0"/>
        <v>2</v>
      </c>
      <c r="B6" s="46" t="s">
        <v>3</v>
      </c>
      <c r="C6" s="46">
        <v>6</v>
      </c>
      <c r="D6" s="47" t="s">
        <v>5</v>
      </c>
      <c r="E6" s="45">
        <f t="shared" si="1"/>
        <v>12</v>
      </c>
    </row>
    <row r="7" spans="1:5" ht="15.75" thickBot="1" x14ac:dyDescent="0.3">
      <c r="A7" s="42">
        <f t="shared" si="0"/>
        <v>2</v>
      </c>
      <c r="B7" s="46" t="s">
        <v>3</v>
      </c>
      <c r="C7" s="46">
        <v>7</v>
      </c>
      <c r="D7" s="47" t="s">
        <v>5</v>
      </c>
      <c r="E7" s="45">
        <f t="shared" si="1"/>
        <v>14</v>
      </c>
    </row>
    <row r="8" spans="1:5" ht="15.75" thickBot="1" x14ac:dyDescent="0.3">
      <c r="A8" s="42">
        <f t="shared" si="0"/>
        <v>2</v>
      </c>
      <c r="B8" s="46" t="s">
        <v>3</v>
      </c>
      <c r="C8" s="46">
        <v>8</v>
      </c>
      <c r="D8" s="47" t="s">
        <v>5</v>
      </c>
      <c r="E8" s="45">
        <f t="shared" si="1"/>
        <v>16</v>
      </c>
    </row>
    <row r="9" spans="1:5" ht="15.75" thickBot="1" x14ac:dyDescent="0.3">
      <c r="A9" s="42">
        <f t="shared" si="0"/>
        <v>2</v>
      </c>
      <c r="B9" s="46" t="s">
        <v>3</v>
      </c>
      <c r="C9" s="46">
        <v>9</v>
      </c>
      <c r="D9" s="47" t="s">
        <v>5</v>
      </c>
      <c r="E9" s="45">
        <f t="shared" si="1"/>
        <v>18</v>
      </c>
    </row>
    <row r="10" spans="1:5" ht="15.75" thickBot="1" x14ac:dyDescent="0.3">
      <c r="A10" s="42">
        <f t="shared" si="0"/>
        <v>2</v>
      </c>
      <c r="B10" s="48" t="s">
        <v>3</v>
      </c>
      <c r="C10" s="48">
        <v>10</v>
      </c>
      <c r="D10" s="49" t="s">
        <v>5</v>
      </c>
      <c r="E10" s="45">
        <f t="shared" si="1"/>
        <v>20</v>
      </c>
    </row>
    <row r="11" spans="1:5" ht="15.75" thickBot="1" x14ac:dyDescent="0.3">
      <c r="D11" s="7"/>
    </row>
    <row r="12" spans="1:5" ht="15.75" thickBot="1" x14ac:dyDescent="0.3">
      <c r="D12" s="10" t="s">
        <v>4</v>
      </c>
      <c r="E12" s="9">
        <v>2</v>
      </c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QQQQ">
                <anchor moveWithCells="1" sizeWithCells="1">
                  <from>
                    <xdr:col>6</xdr:col>
                    <xdr:colOff>0</xdr:colOff>
                    <xdr:row>3</xdr:row>
                    <xdr:rowOff>9525</xdr:rowOff>
                  </from>
                  <to>
                    <xdr:col>7</xdr:col>
                    <xdr:colOff>190500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COLOR">
                <anchor moveWithCells="1" sizeWithCells="1">
                  <from>
                    <xdr:col>6</xdr:col>
                    <xdr:colOff>190500</xdr:colOff>
                    <xdr:row>6</xdr:row>
                    <xdr:rowOff>133350</xdr:rowOff>
                  </from>
                  <to>
                    <xdr:col>7</xdr:col>
                    <xdr:colOff>276225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dimension ref="A1:E25"/>
  <sheetViews>
    <sheetView topLeftCell="A4" workbookViewId="0">
      <selection activeCell="I19" sqref="I19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11" t="s">
        <v>8</v>
      </c>
      <c r="B1" s="12" t="s">
        <v>27</v>
      </c>
      <c r="C1" s="13"/>
      <c r="D1" s="13"/>
    </row>
    <row r="2" spans="1:5" ht="15.75" thickBot="1" x14ac:dyDescent="0.3">
      <c r="A2" s="27" t="s">
        <v>9</v>
      </c>
      <c r="B2" s="28" t="s">
        <v>10</v>
      </c>
      <c r="C2" s="29" t="s">
        <v>11</v>
      </c>
      <c r="D2" s="50" t="s">
        <v>12</v>
      </c>
      <c r="E2" s="54" t="s">
        <v>48</v>
      </c>
    </row>
    <row r="3" spans="1:5" ht="15.75" thickTop="1" x14ac:dyDescent="0.25">
      <c r="A3" s="14" t="s">
        <v>13</v>
      </c>
      <c r="B3" s="20">
        <v>500</v>
      </c>
      <c r="C3" s="21">
        <v>0.15</v>
      </c>
      <c r="D3" s="51">
        <f t="shared" ref="D3:D15" si="0">B3*C3</f>
        <v>75</v>
      </c>
      <c r="E3" s="56">
        <f>B3*C3*$B$19</f>
        <v>9.75</v>
      </c>
    </row>
    <row r="4" spans="1:5" x14ac:dyDescent="0.25">
      <c r="A4" s="15" t="s">
        <v>14</v>
      </c>
      <c r="B4" s="22">
        <v>2347</v>
      </c>
      <c r="C4" s="23">
        <v>1.8</v>
      </c>
      <c r="D4" s="52">
        <f t="shared" si="0"/>
        <v>4224.6000000000004</v>
      </c>
      <c r="E4" s="56">
        <f t="shared" ref="E4:E15" si="1">B4*C4*$B$19</f>
        <v>549.19800000000009</v>
      </c>
    </row>
    <row r="5" spans="1:5" x14ac:dyDescent="0.25">
      <c r="A5" s="15" t="s">
        <v>15</v>
      </c>
      <c r="B5" s="22">
        <v>260</v>
      </c>
      <c r="C5" s="23">
        <v>1.9</v>
      </c>
      <c r="D5" s="52">
        <f t="shared" si="0"/>
        <v>494</v>
      </c>
      <c r="E5" s="56">
        <f t="shared" si="1"/>
        <v>64.22</v>
      </c>
    </row>
    <row r="6" spans="1:5" x14ac:dyDescent="0.25">
      <c r="A6" s="15" t="s">
        <v>16</v>
      </c>
      <c r="B6" s="22">
        <v>230</v>
      </c>
      <c r="C6" s="23">
        <v>1.7</v>
      </c>
      <c r="D6" s="52">
        <f t="shared" si="0"/>
        <v>391</v>
      </c>
      <c r="E6" s="56">
        <f t="shared" si="1"/>
        <v>50.83</v>
      </c>
    </row>
    <row r="7" spans="1:5" x14ac:dyDescent="0.25">
      <c r="A7" s="15" t="s">
        <v>17</v>
      </c>
      <c r="B7" s="22">
        <v>700</v>
      </c>
      <c r="C7" s="23">
        <v>6</v>
      </c>
      <c r="D7" s="52">
        <f t="shared" si="0"/>
        <v>4200</v>
      </c>
      <c r="E7" s="56">
        <f t="shared" si="1"/>
        <v>546</v>
      </c>
    </row>
    <row r="8" spans="1:5" x14ac:dyDescent="0.25">
      <c r="A8" s="15" t="s">
        <v>18</v>
      </c>
      <c r="B8" s="22">
        <v>3500</v>
      </c>
      <c r="C8" s="23">
        <v>0.2</v>
      </c>
      <c r="D8" s="52">
        <f t="shared" si="0"/>
        <v>700</v>
      </c>
      <c r="E8" s="56">
        <f t="shared" si="1"/>
        <v>91</v>
      </c>
    </row>
    <row r="9" spans="1:5" x14ac:dyDescent="0.25">
      <c r="A9" s="15" t="s">
        <v>19</v>
      </c>
      <c r="B9" s="22">
        <v>7000</v>
      </c>
      <c r="C9" s="23">
        <v>0.1</v>
      </c>
      <c r="D9" s="52">
        <f t="shared" si="0"/>
        <v>700</v>
      </c>
      <c r="E9" s="56">
        <f t="shared" si="1"/>
        <v>91</v>
      </c>
    </row>
    <row r="10" spans="1:5" x14ac:dyDescent="0.25">
      <c r="A10" s="15" t="s">
        <v>20</v>
      </c>
      <c r="B10" s="24">
        <v>750</v>
      </c>
      <c r="C10" s="23">
        <v>1.7</v>
      </c>
      <c r="D10" s="52">
        <f t="shared" si="0"/>
        <v>1275</v>
      </c>
      <c r="E10" s="56">
        <f t="shared" si="1"/>
        <v>165.75</v>
      </c>
    </row>
    <row r="11" spans="1:5" x14ac:dyDescent="0.25">
      <c r="A11" s="15" t="s">
        <v>21</v>
      </c>
      <c r="B11" s="22">
        <v>980</v>
      </c>
      <c r="C11" s="23">
        <v>3</v>
      </c>
      <c r="D11" s="52">
        <f t="shared" si="0"/>
        <v>2940</v>
      </c>
      <c r="E11" s="56">
        <f t="shared" si="1"/>
        <v>382.2</v>
      </c>
    </row>
    <row r="12" spans="1:5" x14ac:dyDescent="0.25">
      <c r="A12" s="15" t="s">
        <v>22</v>
      </c>
      <c r="B12" s="22">
        <v>752</v>
      </c>
      <c r="C12" s="23">
        <v>3</v>
      </c>
      <c r="D12" s="52">
        <f t="shared" si="0"/>
        <v>2256</v>
      </c>
      <c r="E12" s="56">
        <f t="shared" si="1"/>
        <v>293.28000000000003</v>
      </c>
    </row>
    <row r="13" spans="1:5" x14ac:dyDescent="0.25">
      <c r="A13" s="15" t="s">
        <v>23</v>
      </c>
      <c r="B13" s="22">
        <v>7080</v>
      </c>
      <c r="C13" s="23">
        <v>2</v>
      </c>
      <c r="D13" s="52">
        <f t="shared" si="0"/>
        <v>14160</v>
      </c>
      <c r="E13" s="56">
        <f t="shared" si="1"/>
        <v>1840.8</v>
      </c>
    </row>
    <row r="14" spans="1:5" x14ac:dyDescent="0.25">
      <c r="A14" s="15" t="s">
        <v>24</v>
      </c>
      <c r="B14" s="22">
        <v>6320</v>
      </c>
      <c r="C14" s="23">
        <v>0.4</v>
      </c>
      <c r="D14" s="52">
        <f t="shared" si="0"/>
        <v>2528</v>
      </c>
      <c r="E14" s="56">
        <f t="shared" si="1"/>
        <v>328.64</v>
      </c>
    </row>
    <row r="15" spans="1:5" ht="15.75" thickBot="1" x14ac:dyDescent="0.3">
      <c r="A15" s="16" t="s">
        <v>25</v>
      </c>
      <c r="B15" s="25">
        <v>789</v>
      </c>
      <c r="C15" s="26">
        <v>0.45</v>
      </c>
      <c r="D15" s="53">
        <f t="shared" si="0"/>
        <v>355.05</v>
      </c>
      <c r="E15" s="56">
        <f t="shared" si="1"/>
        <v>46.156500000000001</v>
      </c>
    </row>
    <row r="16" spans="1:5" ht="15.75" thickBot="1" x14ac:dyDescent="0.3">
      <c r="C16" s="17"/>
      <c r="D16" s="17"/>
    </row>
    <row r="17" spans="1:5" ht="15.75" thickBot="1" x14ac:dyDescent="0.3">
      <c r="A17" s="18" t="s">
        <v>26</v>
      </c>
      <c r="B17" s="30">
        <f>SUM(B3:B15)</f>
        <v>31208</v>
      </c>
      <c r="C17" s="30">
        <f t="shared" ref="C17:D17" si="2">SUM(C3:C15)</f>
        <v>22.399999999999995</v>
      </c>
      <c r="D17" s="30">
        <f t="shared" si="2"/>
        <v>34298.65</v>
      </c>
      <c r="E17" s="55">
        <f>SUM(E3:E15)</f>
        <v>4458.8245000000006</v>
      </c>
    </row>
    <row r="19" spans="1:5" x14ac:dyDescent="0.25">
      <c r="A19" s="19" t="s">
        <v>28</v>
      </c>
      <c r="B19" s="31">
        <v>0.13</v>
      </c>
    </row>
    <row r="21" spans="1:5" x14ac:dyDescent="0.25">
      <c r="A21" t="s">
        <v>29</v>
      </c>
    </row>
    <row r="22" spans="1:5" x14ac:dyDescent="0.25">
      <c r="A22" t="s">
        <v>30</v>
      </c>
    </row>
    <row r="23" spans="1:5" x14ac:dyDescent="0.25">
      <c r="A23" t="s">
        <v>31</v>
      </c>
    </row>
    <row r="24" spans="1:5" x14ac:dyDescent="0.25">
      <c r="A24" t="s">
        <v>32</v>
      </c>
    </row>
    <row r="25" spans="1:5" x14ac:dyDescent="0.25">
      <c r="A25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IVA">
                <anchor moveWithCells="1" sizeWithCells="1">
                  <from>
                    <xdr:col>6</xdr:col>
                    <xdr:colOff>123825</xdr:colOff>
                    <xdr:row>2</xdr:row>
                    <xdr:rowOff>38100</xdr:rowOff>
                  </from>
                  <to>
                    <xdr:col>7</xdr:col>
                    <xdr:colOff>390525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1]!FORMATOADECUADO">
                <anchor moveWithCells="1" sizeWithCells="1">
                  <from>
                    <xdr:col>6</xdr:col>
                    <xdr:colOff>333375</xdr:colOff>
                    <xdr:row>7</xdr:row>
                    <xdr:rowOff>57150</xdr:rowOff>
                  </from>
                  <to>
                    <xdr:col>7</xdr:col>
                    <xdr:colOff>590550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1]!sumadeIVA">
                <anchor moveWithCells="1" sizeWithCells="1">
                  <from>
                    <xdr:col>6</xdr:col>
                    <xdr:colOff>371475</xdr:colOff>
                    <xdr:row>11</xdr:row>
                    <xdr:rowOff>28575</xdr:rowOff>
                  </from>
                  <to>
                    <xdr:col>7</xdr:col>
                    <xdr:colOff>742950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1]!SUMASSS">
                <anchor moveWithCells="1" sizeWithCells="1">
                  <from>
                    <xdr:col>5</xdr:col>
                    <xdr:colOff>752475</xdr:colOff>
                    <xdr:row>15</xdr:row>
                    <xdr:rowOff>76200</xdr:rowOff>
                  </from>
                  <to>
                    <xdr:col>7</xdr:col>
                    <xdr:colOff>390525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dimension ref="A1:E10"/>
  <sheetViews>
    <sheetView workbookViewId="0">
      <selection activeCell="E11" sqref="E11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5" x14ac:dyDescent="0.25">
      <c r="A1" s="61" t="s">
        <v>35</v>
      </c>
      <c r="B1" s="32" t="s">
        <v>34</v>
      </c>
      <c r="C1" s="62" t="s">
        <v>36</v>
      </c>
      <c r="D1" s="33" t="s">
        <v>37</v>
      </c>
      <c r="E1" s="63"/>
    </row>
    <row r="2" spans="1:5" ht="27.75" x14ac:dyDescent="0.5">
      <c r="A2" s="57" t="s">
        <v>49</v>
      </c>
      <c r="B2" s="58" t="s">
        <v>50</v>
      </c>
      <c r="C2" s="59" t="s">
        <v>51</v>
      </c>
      <c r="D2" s="60" t="s">
        <v>52</v>
      </c>
      <c r="E2" s="63"/>
    </row>
    <row r="3" spans="1:5" x14ac:dyDescent="0.25">
      <c r="A3" t="s">
        <v>53</v>
      </c>
      <c r="B3" t="s">
        <v>54</v>
      </c>
      <c r="C3" t="s">
        <v>55</v>
      </c>
      <c r="D3" t="s">
        <v>56</v>
      </c>
      <c r="E3" s="63"/>
    </row>
    <row r="4" spans="1:5" x14ac:dyDescent="0.25">
      <c r="E4" s="63"/>
    </row>
    <row r="5" spans="1:5" x14ac:dyDescent="0.25">
      <c r="A5" t="s">
        <v>38</v>
      </c>
      <c r="E5" s="63"/>
    </row>
    <row r="6" spans="1:5" x14ac:dyDescent="0.25">
      <c r="E6" s="63"/>
    </row>
    <row r="7" spans="1:5" x14ac:dyDescent="0.25">
      <c r="E7" s="63"/>
    </row>
    <row r="8" spans="1:5" x14ac:dyDescent="0.25">
      <c r="E8" s="63"/>
    </row>
    <row r="9" spans="1:5" x14ac:dyDescent="0.25">
      <c r="E9" s="63"/>
    </row>
    <row r="10" spans="1:5" x14ac:dyDescent="0.25">
      <c r="E10" s="6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JJJJ">
                <anchor moveWithCells="1" sizeWithCells="1">
                  <from>
                    <xdr:col>6</xdr:col>
                    <xdr:colOff>447675</xdr:colOff>
                    <xdr:row>2</xdr:row>
                    <xdr:rowOff>76200</xdr:rowOff>
                  </from>
                  <to>
                    <xdr:col>7</xdr:col>
                    <xdr:colOff>552450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dimension ref="A1:N18"/>
  <sheetViews>
    <sheetView workbookViewId="0">
      <selection activeCell="K18" sqref="K18"/>
    </sheetView>
  </sheetViews>
  <sheetFormatPr baseColWidth="10" defaultRowHeight="15" x14ac:dyDescent="0.25"/>
  <sheetData>
    <row r="1" spans="1:14" x14ac:dyDescent="0.25">
      <c r="A1" t="s">
        <v>39</v>
      </c>
    </row>
    <row r="3" spans="1:14" x14ac:dyDescent="0.25">
      <c r="A3" t="s">
        <v>40</v>
      </c>
    </row>
    <row r="5" spans="1:14" x14ac:dyDescent="0.25">
      <c r="A5" s="2" t="s">
        <v>41</v>
      </c>
      <c r="B5" s="2" t="s">
        <v>42</v>
      </c>
      <c r="C5" s="2" t="s">
        <v>43</v>
      </c>
      <c r="D5" s="2" t="s">
        <v>44</v>
      </c>
      <c r="E5" s="2" t="s">
        <v>45</v>
      </c>
      <c r="I5" s="2">
        <v>4</v>
      </c>
      <c r="J5" s="2">
        <v>5</v>
      </c>
      <c r="K5" s="2">
        <v>7</v>
      </c>
    </row>
    <row r="6" spans="1:14" ht="18.75" x14ac:dyDescent="0.3">
      <c r="A6" s="2">
        <v>3</v>
      </c>
      <c r="B6" s="2">
        <v>5</v>
      </c>
      <c r="C6" s="2">
        <v>2</v>
      </c>
      <c r="D6" s="2">
        <v>10</v>
      </c>
      <c r="E6" s="2">
        <v>7</v>
      </c>
      <c r="F6" s="35">
        <f>SUM(A6:E6)</f>
        <v>27</v>
      </c>
      <c r="I6" s="2">
        <v>4</v>
      </c>
      <c r="J6" s="2">
        <v>5</v>
      </c>
      <c r="K6" s="2">
        <v>7</v>
      </c>
    </row>
    <row r="7" spans="1:14" ht="18.75" x14ac:dyDescent="0.3">
      <c r="A7" s="2">
        <v>7</v>
      </c>
      <c r="B7" s="2">
        <v>8</v>
      </c>
      <c r="C7" s="2">
        <v>9</v>
      </c>
      <c r="D7" s="2">
        <v>0</v>
      </c>
      <c r="E7" s="2">
        <v>3</v>
      </c>
      <c r="F7" s="35">
        <f t="shared" ref="F7:F11" si="0">SUM(A7:E7)</f>
        <v>27</v>
      </c>
      <c r="I7" s="2">
        <v>4</v>
      </c>
      <c r="J7" s="2">
        <v>5</v>
      </c>
      <c r="K7" s="2">
        <v>7</v>
      </c>
    </row>
    <row r="8" spans="1:14" ht="18.75" x14ac:dyDescent="0.3">
      <c r="A8" s="2">
        <v>4</v>
      </c>
      <c r="B8" s="2">
        <v>4</v>
      </c>
      <c r="C8" s="2">
        <v>4</v>
      </c>
      <c r="D8" s="2">
        <v>4</v>
      </c>
      <c r="E8" s="2">
        <v>4</v>
      </c>
      <c r="F8" s="35">
        <f t="shared" si="0"/>
        <v>20</v>
      </c>
      <c r="I8" s="2">
        <f>SUM(I3:I7)</f>
        <v>12</v>
      </c>
      <c r="J8" s="2">
        <v>5</v>
      </c>
      <c r="K8" s="2">
        <v>7</v>
      </c>
    </row>
    <row r="9" spans="1:14" ht="18.75" x14ac:dyDescent="0.3">
      <c r="A9" s="2">
        <v>3</v>
      </c>
      <c r="B9" s="2">
        <v>3</v>
      </c>
      <c r="C9" s="2">
        <v>3</v>
      </c>
      <c r="D9" s="2">
        <v>3</v>
      </c>
      <c r="E9" s="2">
        <v>3</v>
      </c>
      <c r="F9" s="35">
        <f t="shared" si="0"/>
        <v>15</v>
      </c>
      <c r="I9" s="2">
        <v>4</v>
      </c>
      <c r="J9" s="2">
        <v>5</v>
      </c>
      <c r="K9" s="2">
        <v>7</v>
      </c>
    </row>
    <row r="10" spans="1:14" ht="18.75" x14ac:dyDescent="0.3">
      <c r="A10" s="2">
        <v>6</v>
      </c>
      <c r="B10" s="2">
        <v>6</v>
      </c>
      <c r="C10" s="2">
        <v>6</v>
      </c>
      <c r="D10" s="2">
        <v>6</v>
      </c>
      <c r="E10" s="2">
        <v>6</v>
      </c>
      <c r="F10" s="35">
        <f t="shared" si="0"/>
        <v>30</v>
      </c>
      <c r="H10" t="s">
        <v>46</v>
      </c>
      <c r="I10" s="64">
        <f>SUM(I5:I9)</f>
        <v>28</v>
      </c>
      <c r="J10" s="2">
        <f>SUM(J5:J9)</f>
        <v>25</v>
      </c>
      <c r="K10" s="2">
        <f>SUM(K5:K9)</f>
        <v>35</v>
      </c>
      <c r="N10">
        <f>SUM(N5:N9)</f>
        <v>0</v>
      </c>
    </row>
    <row r="11" spans="1:14" ht="18.75" x14ac:dyDescent="0.3">
      <c r="A11" s="2">
        <v>2</v>
      </c>
      <c r="B11" s="2">
        <v>2</v>
      </c>
      <c r="C11" s="2">
        <v>2</v>
      </c>
      <c r="D11" s="2">
        <v>2</v>
      </c>
      <c r="E11" s="2">
        <v>2</v>
      </c>
      <c r="F11" s="35">
        <f t="shared" si="0"/>
        <v>10</v>
      </c>
    </row>
    <row r="14" spans="1:14" x14ac:dyDescent="0.25">
      <c r="B14" t="s">
        <v>47</v>
      </c>
    </row>
    <row r="18" spans="11:11" x14ac:dyDescent="0.25">
      <c r="K18" s="34"/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sumahoorizontal">
                <anchor moveWithCells="1" sizeWithCells="1">
                  <from>
                    <xdr:col>11</xdr:col>
                    <xdr:colOff>190500</xdr:colOff>
                    <xdr:row>9</xdr:row>
                    <xdr:rowOff>28575</xdr:rowOff>
                  </from>
                  <to>
                    <xdr:col>11</xdr:col>
                    <xdr:colOff>695325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cp:lastPrinted>2022-09-28T16:49:35Z</cp:lastPrinted>
  <dcterms:created xsi:type="dcterms:W3CDTF">2022-09-28T06:37:15Z</dcterms:created>
  <dcterms:modified xsi:type="dcterms:W3CDTF">2022-09-28T17:36:19Z</dcterms:modified>
</cp:coreProperties>
</file>
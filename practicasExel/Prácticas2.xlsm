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1dique\Documents\Aprender_a_programar_con_Excel_VBA\Necesarios\"/>
    </mc:Choice>
  </mc:AlternateContent>
  <xr:revisionPtr revIDLastSave="0" documentId="13_ncr:1_{0715C6F9-02E1-4BA1-90E4-C4AC49001515}" xr6:coauthVersionLast="37" xr6:coauthVersionMax="37" xr10:uidLastSave="{00000000-0000-0000-0000-000000000000}"/>
  <bookViews>
    <workbookView xWindow="0" yWindow="0" windowWidth="20490" windowHeight="7545" xr2:uid="{00000000-000D-0000-FFFF-FFFF00000000}"/>
  </bookViews>
  <sheets>
    <sheet name="Pedidos febrero" sheetId="4" r:id="rId1"/>
    <sheet name="Pedidos marzo" sheetId="1" r:id="rId2"/>
    <sheet name="Pedidos Abril " sheetId="5" r:id="rId3"/>
    <sheet name="Cálculo total" sheetId="6" r:id="rId4"/>
    <sheet name="Comparativa beneficio" sheetId="3" r:id="rId5"/>
  </sheets>
  <externalReferences>
    <externalReference r:id="rId6"/>
  </externalReferences>
  <definedNames>
    <definedName name="IVA_totales">[1]Pedidos_enero!#REF!</definedName>
  </definedNames>
  <calcPr calcId="179021"/>
</workbook>
</file>

<file path=xl/calcChain.xml><?xml version="1.0" encoding="utf-8"?>
<calcChain xmlns="http://schemas.openxmlformats.org/spreadsheetml/2006/main">
  <c r="B16" i="3" l="1"/>
  <c r="C16" i="3" s="1"/>
  <c r="D16" i="3" l="1"/>
  <c r="D15" i="5"/>
  <c r="D14" i="5"/>
  <c r="D13" i="5"/>
  <c r="D12" i="5"/>
  <c r="D11" i="5"/>
  <c r="D10" i="5"/>
  <c r="D9" i="5"/>
  <c r="D8" i="5"/>
  <c r="D7" i="5"/>
  <c r="D6" i="5"/>
  <c r="D5" i="5"/>
  <c r="D4" i="5"/>
  <c r="D3" i="5"/>
  <c r="D15" i="1" l="1"/>
  <c r="D14" i="1"/>
  <c r="D13" i="1"/>
  <c r="D12" i="1"/>
  <c r="D11" i="1"/>
  <c r="D10" i="1"/>
  <c r="D9" i="1"/>
  <c r="D8" i="1"/>
  <c r="D7" i="1"/>
  <c r="D6" i="1"/>
  <c r="D5" i="1"/>
  <c r="D4" i="1"/>
  <c r="D3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</calcChain>
</file>

<file path=xl/sharedStrings.xml><?xml version="1.0" encoding="utf-8"?>
<sst xmlns="http://schemas.openxmlformats.org/spreadsheetml/2006/main" count="90" uniqueCount="47">
  <si>
    <t>Total</t>
  </si>
  <si>
    <t>Bolígrafo P45 Negro</t>
  </si>
  <si>
    <t>Bolígrafo P45 Azul</t>
  </si>
  <si>
    <t>Block notas DIN A4</t>
  </si>
  <si>
    <t>Ceras blandas Bijo Tipo B 15 col</t>
  </si>
  <si>
    <t>Acuarelas Bijo 12 col</t>
  </si>
  <si>
    <t>Pegamento Barra Rit</t>
  </si>
  <si>
    <t>Cartulinas Din A4 Impresora</t>
  </si>
  <si>
    <t>Gomas de borrar Londres</t>
  </si>
  <si>
    <t>Compás técnico articulado</t>
  </si>
  <si>
    <t>Bolígrafo MaxBorrable</t>
  </si>
  <si>
    <t>Bolígrafo RollerPres  azul</t>
  </si>
  <si>
    <t>Bolígrafo RollerPres negro</t>
  </si>
  <si>
    <t xml:space="preserve">Lápiz Triangle-E </t>
  </si>
  <si>
    <t>Total (€) sin IVA</t>
  </si>
  <si>
    <t>Precio (€)</t>
  </si>
  <si>
    <t>Cantidad</t>
  </si>
  <si>
    <t>Artículo</t>
  </si>
  <si>
    <t>Febero 2012</t>
  </si>
  <si>
    <t>Pedidos mensuales</t>
  </si>
  <si>
    <t>TOTAL</t>
  </si>
  <si>
    <t>IVA</t>
  </si>
  <si>
    <t>Marzo 2012</t>
  </si>
  <si>
    <t>Abril 2012</t>
  </si>
  <si>
    <t>Tipo IVA</t>
  </si>
  <si>
    <t>PV (sin IVA)</t>
  </si>
  <si>
    <t>SubTotal</t>
  </si>
  <si>
    <t>Descuento</t>
  </si>
  <si>
    <t>A</t>
  </si>
  <si>
    <t>Tipo</t>
  </si>
  <si>
    <t>Mes</t>
  </si>
  <si>
    <t>Año Anterior</t>
  </si>
  <si>
    <t>Año Actual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</si>
  <si>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</si>
  <si>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</si>
  <si>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</si>
  <si>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</si>
  <si>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</si>
  <si>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</si>
  <si>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</si>
  <si>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</si>
  <si>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</si>
  <si>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</si>
  <si>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</si>
  <si>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</si>
  <si>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($) sin IVA</t>
  </si>
  <si>
    <t>Precio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</si>
</sst>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#,##0.00\ [$€-1]"/>
    <numFmt numFmtId="167" formatCode="[$-C0A]mmmmm;@"/>
    <numFmt numFmtId="170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Font="1"/>
    <xf numFmtId="0" fontId="2" fillId="0" borderId="0" xfId="0" applyFont="1"/>
    <xf numFmtId="0" fontId="3" fillId="3" borderId="3" xfId="0" applyFont="1" applyFill="1" applyBorder="1" applyAlignment="1">
      <alignment horizontal="left" vertical="center" wrapText="1"/>
    </xf>
    <xf numFmtId="166" fontId="3" fillId="2" borderId="4" xfId="0" applyNumberFormat="1" applyFont="1" applyFill="1" applyBorder="1" applyAlignment="1">
      <alignment horizontal="center" vertical="center"/>
    </xf>
    <xf numFmtId="3" fontId="3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left" vertical="center" wrapText="1"/>
    </xf>
    <xf numFmtId="166" fontId="3" fillId="2" borderId="7" xfId="0" applyNumberFormat="1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horizontal="left" vertical="center" wrapText="1"/>
    </xf>
    <xf numFmtId="3" fontId="4" fillId="0" borderId="8" xfId="0" applyNumberFormat="1" applyFont="1" applyBorder="1" applyAlignment="1">
      <alignment horizontal="center" vertical="center"/>
    </xf>
    <xf numFmtId="166" fontId="3" fillId="2" borderId="10" xfId="0" applyNumberFormat="1" applyFont="1" applyFill="1" applyBorder="1" applyAlignment="1">
      <alignment horizontal="center" vertical="center"/>
    </xf>
    <xf numFmtId="3" fontId="3" fillId="0" borderId="11" xfId="0" applyNumberFormat="1" applyFont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 wrapText="1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left" vertical="center"/>
    </xf>
    <xf numFmtId="0" fontId="0" fillId="5" borderId="16" xfId="0" applyFont="1" applyFill="1" applyBorder="1"/>
    <xf numFmtId="49" fontId="1" fillId="5" borderId="16" xfId="0" applyNumberFormat="1" applyFont="1" applyFill="1" applyBorder="1"/>
    <xf numFmtId="0" fontId="1" fillId="5" borderId="17" xfId="0" applyFont="1" applyFill="1" applyBorder="1"/>
    <xf numFmtId="3" fontId="7" fillId="6" borderId="2" xfId="0" applyNumberFormat="1" applyFont="1" applyFill="1" applyBorder="1" applyAlignment="1">
      <alignment horizontal="center" vertical="center"/>
    </xf>
    <xf numFmtId="166" fontId="7" fillId="6" borderId="1" xfId="0" applyNumberFormat="1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center" wrapText="1"/>
    </xf>
    <xf numFmtId="9" fontId="0" fillId="0" borderId="0" xfId="1" applyFont="1"/>
    <xf numFmtId="166" fontId="4" fillId="2" borderId="7" xfId="0" applyNumberFormat="1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9" fontId="6" fillId="0" borderId="0" xfId="1" applyFont="1"/>
    <xf numFmtId="0" fontId="5" fillId="4" borderId="18" xfId="0" applyFont="1" applyFill="1" applyBorder="1" applyAlignment="1">
      <alignment horizontal="left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left" vertical="center" wrapText="1"/>
    </xf>
    <xf numFmtId="9" fontId="0" fillId="7" borderId="0" xfId="1" applyFont="1" applyFill="1"/>
    <xf numFmtId="0" fontId="0" fillId="7" borderId="0" xfId="0" applyFont="1" applyFill="1"/>
    <xf numFmtId="0" fontId="0" fillId="8" borderId="22" xfId="0" applyFont="1" applyFill="1" applyBorder="1"/>
    <xf numFmtId="0" fontId="0" fillId="8" borderId="23" xfId="0" applyFont="1" applyFill="1" applyBorder="1"/>
    <xf numFmtId="0" fontId="0" fillId="8" borderId="24" xfId="0" applyFont="1" applyFill="1" applyBorder="1"/>
    <xf numFmtId="0" fontId="0" fillId="8" borderId="25" xfId="0" applyFont="1" applyFill="1" applyBorder="1"/>
    <xf numFmtId="9" fontId="0" fillId="8" borderId="25" xfId="1" applyFont="1" applyFill="1" applyBorder="1"/>
    <xf numFmtId="0" fontId="0" fillId="8" borderId="26" xfId="0" applyFont="1" applyFill="1" applyBorder="1"/>
    <xf numFmtId="9" fontId="0" fillId="8" borderId="27" xfId="1" applyFont="1" applyFill="1" applyBorder="1"/>
    <xf numFmtId="0" fontId="0" fillId="0" borderId="28" xfId="0" applyFont="1" applyBorder="1"/>
    <xf numFmtId="9" fontId="0" fillId="0" borderId="29" xfId="1" applyFont="1" applyBorder="1"/>
    <xf numFmtId="0" fontId="5" fillId="4" borderId="30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center"/>
    </xf>
    <xf numFmtId="0" fontId="3" fillId="3" borderId="26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3" fontId="3" fillId="0" borderId="4" xfId="0" applyNumberFormat="1" applyFont="1" applyBorder="1" applyAlignment="1">
      <alignment horizontal="center" vertical="center"/>
    </xf>
    <xf numFmtId="165" fontId="3" fillId="0" borderId="4" xfId="2" applyFont="1" applyBorder="1" applyAlignment="1">
      <alignment horizontal="center" vertical="center"/>
    </xf>
    <xf numFmtId="164" fontId="3" fillId="0" borderId="27" xfId="2" applyNumberFormat="1" applyFont="1" applyBorder="1" applyAlignment="1">
      <alignment horizontal="center" vertical="center"/>
    </xf>
    <xf numFmtId="0" fontId="0" fillId="0" borderId="28" xfId="0" applyBorder="1"/>
    <xf numFmtId="0" fontId="1" fillId="0" borderId="1" xfId="0" applyFont="1" applyBorder="1"/>
    <xf numFmtId="0" fontId="1" fillId="0" borderId="29" xfId="0" applyFont="1" applyBorder="1"/>
    <xf numFmtId="0" fontId="0" fillId="0" borderId="10" xfId="0" applyBorder="1"/>
    <xf numFmtId="0" fontId="0" fillId="0" borderId="7" xfId="0" applyBorder="1"/>
    <xf numFmtId="167" fontId="0" fillId="0" borderId="0" xfId="0" applyNumberFormat="1"/>
    <xf numFmtId="0" fontId="0" fillId="0" borderId="0" xfId="0" applyNumberFormat="1"/>
    <xf numFmtId="0" fontId="8" fillId="7" borderId="7" xfId="0" applyFont="1" applyFill="1" applyBorder="1"/>
    <xf numFmtId="3" fontId="7" fillId="0" borderId="2" xfId="0" applyNumberFormat="1" applyFont="1" applyFill="1" applyBorder="1" applyAlignment="1">
      <alignment horizontal="center" vertical="center"/>
    </xf>
    <xf numFmtId="10" fontId="0" fillId="0" borderId="0" xfId="0" applyNumberFormat="1" applyFont="1"/>
    <xf numFmtId="170" fontId="0" fillId="5" borderId="16" xfId="0" applyNumberFormat="1" applyFont="1" applyFill="1" applyBorder="1"/>
    <xf numFmtId="170" fontId="5" fillId="4" borderId="13" xfId="0" applyNumberFormat="1" applyFont="1" applyFill="1" applyBorder="1" applyAlignment="1">
      <alignment horizontal="center" vertical="center"/>
    </xf>
    <xf numFmtId="170" fontId="3" fillId="2" borderId="10" xfId="0" applyNumberFormat="1" applyFont="1" applyFill="1" applyBorder="1" applyAlignment="1">
      <alignment horizontal="center" vertical="center"/>
    </xf>
    <xf numFmtId="170" fontId="3" fillId="2" borderId="7" xfId="0" applyNumberFormat="1" applyFont="1" applyFill="1" applyBorder="1" applyAlignment="1">
      <alignment horizontal="center" vertical="center"/>
    </xf>
    <xf numFmtId="170" fontId="3" fillId="2" borderId="4" xfId="0" applyNumberFormat="1" applyFont="1" applyFill="1" applyBorder="1" applyAlignment="1">
      <alignment horizontal="center" vertical="center"/>
    </xf>
    <xf numFmtId="170" fontId="0" fillId="0" borderId="0" xfId="0" applyNumberFormat="1" applyFont="1"/>
    <xf numFmtId="170" fontId="7" fillId="0" borderId="1" xfId="0" applyNumberFormat="1" applyFont="1" applyFill="1" applyBorder="1" applyAlignment="1">
      <alignment horizontal="center" vertical="center"/>
    </xf>
    <xf numFmtId="170" fontId="5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&#225;cticas%201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_enero"/>
      <sheetName val="propiedades"/>
      <sheetName val="Hoja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9"/>
  <sheetViews>
    <sheetView tabSelected="1" workbookViewId="0">
      <selection activeCell="F10" sqref="F10"/>
    </sheetView>
  </sheetViews>
  <sheetFormatPr baseColWidth="10" defaultRowHeight="15" x14ac:dyDescent="0.25"/>
  <cols>
    <col min="1" max="1" width="33" style="1" customWidth="1"/>
    <col min="2" max="2" width="16.85546875" style="1" customWidth="1"/>
    <col min="3" max="4" width="16.85546875" style="67" customWidth="1"/>
    <col min="5" max="16384" width="11.42578125" style="1"/>
  </cols>
  <sheetData>
    <row r="1" spans="1:5" ht="15.75" thickBot="1" x14ac:dyDescent="0.3">
      <c r="A1" s="19" t="s">
        <v>19</v>
      </c>
      <c r="B1" s="18" t="s">
        <v>18</v>
      </c>
      <c r="C1" s="62"/>
      <c r="D1" s="62"/>
    </row>
    <row r="2" spans="1:5" ht="15.75" thickBot="1" x14ac:dyDescent="0.3">
      <c r="A2" s="16" t="s">
        <v>17</v>
      </c>
      <c r="B2" s="15" t="s">
        <v>16</v>
      </c>
      <c r="C2" s="63" t="s">
        <v>46</v>
      </c>
      <c r="D2" s="63" t="s">
        <v>45</v>
      </c>
      <c r="E2" s="71"/>
    </row>
    <row r="3" spans="1:5" ht="15.75" thickTop="1" x14ac:dyDescent="0.25">
      <c r="A3" s="13" t="s">
        <v>13</v>
      </c>
      <c r="B3" s="12">
        <v>432</v>
      </c>
      <c r="C3" s="64">
        <v>0.14000000000000001</v>
      </c>
      <c r="D3" s="64">
        <f t="shared" ref="D3:E15" si="0">B3*C3</f>
        <v>60.480000000000004</v>
      </c>
    </row>
    <row r="4" spans="1:5" x14ac:dyDescent="0.25">
      <c r="A4" s="9" t="s">
        <v>12</v>
      </c>
      <c r="B4" s="8">
        <v>2342</v>
      </c>
      <c r="C4" s="65">
        <v>1.75</v>
      </c>
      <c r="D4" s="65">
        <f t="shared" si="0"/>
        <v>4098.5</v>
      </c>
    </row>
    <row r="5" spans="1:5" x14ac:dyDescent="0.25">
      <c r="A5" s="9" t="s">
        <v>11</v>
      </c>
      <c r="B5" s="8">
        <v>26</v>
      </c>
      <c r="C5" s="65">
        <v>1.75</v>
      </c>
      <c r="D5" s="65">
        <f t="shared" si="0"/>
        <v>45.5</v>
      </c>
    </row>
    <row r="6" spans="1:5" x14ac:dyDescent="0.25">
      <c r="A6" s="9" t="s">
        <v>10</v>
      </c>
      <c r="B6" s="8">
        <v>654</v>
      </c>
      <c r="C6" s="65">
        <v>1.65</v>
      </c>
      <c r="D6" s="65">
        <f t="shared" si="0"/>
        <v>1079.0999999999999</v>
      </c>
    </row>
    <row r="7" spans="1:5" x14ac:dyDescent="0.25">
      <c r="A7" s="9" t="s">
        <v>9</v>
      </c>
      <c r="B7" s="8">
        <v>70</v>
      </c>
      <c r="C7" s="65">
        <v>5.67</v>
      </c>
      <c r="D7" s="65">
        <f t="shared" si="0"/>
        <v>396.9</v>
      </c>
    </row>
    <row r="8" spans="1:5" x14ac:dyDescent="0.25">
      <c r="A8" s="9" t="s">
        <v>8</v>
      </c>
      <c r="B8" s="8">
        <v>3435</v>
      </c>
      <c r="C8" s="65">
        <v>0.18</v>
      </c>
      <c r="D8" s="65">
        <f t="shared" si="0"/>
        <v>618.29999999999995</v>
      </c>
    </row>
    <row r="9" spans="1:5" x14ac:dyDescent="0.25">
      <c r="A9" s="9" t="s">
        <v>7</v>
      </c>
      <c r="B9" s="8">
        <v>4757</v>
      </c>
      <c r="C9" s="65">
        <v>0.08</v>
      </c>
      <c r="D9" s="65">
        <f t="shared" si="0"/>
        <v>380.56</v>
      </c>
    </row>
    <row r="10" spans="1:5" x14ac:dyDescent="0.25">
      <c r="A10" s="9" t="s">
        <v>6</v>
      </c>
      <c r="B10" s="10">
        <v>645</v>
      </c>
      <c r="C10" s="65">
        <v>1.68</v>
      </c>
      <c r="D10" s="65">
        <f t="shared" si="0"/>
        <v>1083.5999999999999</v>
      </c>
    </row>
    <row r="11" spans="1:5" x14ac:dyDescent="0.25">
      <c r="A11" s="9" t="s">
        <v>5</v>
      </c>
      <c r="B11" s="8">
        <v>68</v>
      </c>
      <c r="C11" s="65">
        <v>2.5</v>
      </c>
      <c r="D11" s="65">
        <f t="shared" si="0"/>
        <v>170</v>
      </c>
    </row>
    <row r="12" spans="1:5" x14ac:dyDescent="0.25">
      <c r="A12" s="9" t="s">
        <v>4</v>
      </c>
      <c r="B12" s="8">
        <v>543</v>
      </c>
      <c r="C12" s="65">
        <v>2.5</v>
      </c>
      <c r="D12" s="65">
        <f t="shared" si="0"/>
        <v>1357.5</v>
      </c>
    </row>
    <row r="13" spans="1:5" x14ac:dyDescent="0.25">
      <c r="A13" s="9" t="s">
        <v>3</v>
      </c>
      <c r="B13" s="8">
        <v>3456</v>
      </c>
      <c r="C13" s="65">
        <v>1.59</v>
      </c>
      <c r="D13" s="65">
        <f t="shared" si="0"/>
        <v>5495.04</v>
      </c>
    </row>
    <row r="14" spans="1:5" x14ac:dyDescent="0.25">
      <c r="A14" s="9" t="s">
        <v>2</v>
      </c>
      <c r="B14" s="8">
        <v>345</v>
      </c>
      <c r="C14" s="65">
        <v>0.33</v>
      </c>
      <c r="D14" s="65">
        <f t="shared" si="0"/>
        <v>113.85000000000001</v>
      </c>
    </row>
    <row r="15" spans="1:5" ht="15.75" thickBot="1" x14ac:dyDescent="0.3">
      <c r="A15" s="6" t="s">
        <v>1</v>
      </c>
      <c r="B15" s="5">
        <v>3500</v>
      </c>
      <c r="C15" s="66">
        <v>0.33</v>
      </c>
      <c r="D15" s="66">
        <f t="shared" si="0"/>
        <v>1155</v>
      </c>
    </row>
    <row r="16" spans="1:5" ht="15.75" thickBot="1" x14ac:dyDescent="0.3"/>
    <row r="17" spans="1:6" ht="15.75" thickBot="1" x14ac:dyDescent="0.3">
      <c r="A17" s="3" t="s">
        <v>0</v>
      </c>
      <c r="B17" s="60"/>
      <c r="C17" s="68"/>
      <c r="D17" s="69"/>
      <c r="F17" s="2"/>
    </row>
    <row r="19" spans="1:6" x14ac:dyDescent="0.25">
      <c r="A19" s="70"/>
      <c r="B19" s="6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9"/>
  <sheetViews>
    <sheetView workbookViewId="0">
      <selection activeCell="D6" sqref="D6"/>
    </sheetView>
  </sheetViews>
  <sheetFormatPr baseColWidth="10" defaultRowHeight="15" x14ac:dyDescent="0.25"/>
  <cols>
    <col min="1" max="1" width="33" style="1" customWidth="1"/>
    <col min="2" max="5" width="16.85546875" style="1" customWidth="1"/>
    <col min="6" max="16384" width="11.42578125" style="1"/>
  </cols>
  <sheetData>
    <row r="1" spans="1:5" ht="15.75" thickBot="1" x14ac:dyDescent="0.3">
      <c r="A1" s="19" t="s">
        <v>19</v>
      </c>
      <c r="B1" s="18" t="s">
        <v>22</v>
      </c>
      <c r="C1" s="17"/>
      <c r="D1" s="17"/>
      <c r="E1" s="17"/>
    </row>
    <row r="2" spans="1:5" ht="15.75" thickBot="1" x14ac:dyDescent="0.3">
      <c r="A2" s="16" t="s">
        <v>17</v>
      </c>
      <c r="B2" s="15" t="s">
        <v>16</v>
      </c>
      <c r="C2" s="14" t="s">
        <v>15</v>
      </c>
      <c r="D2" s="14" t="s">
        <v>14</v>
      </c>
      <c r="E2" s="14" t="s">
        <v>20</v>
      </c>
    </row>
    <row r="3" spans="1:5" ht="15.75" thickTop="1" x14ac:dyDescent="0.25">
      <c r="A3" s="13" t="s">
        <v>13</v>
      </c>
      <c r="B3" s="12">
        <v>321</v>
      </c>
      <c r="C3" s="11">
        <v>0.14000000000000001</v>
      </c>
      <c r="D3" s="11">
        <f t="shared" ref="D3:D15" si="0">B3*C3</f>
        <v>44.940000000000005</v>
      </c>
      <c r="E3" s="11"/>
    </row>
    <row r="4" spans="1:5" x14ac:dyDescent="0.25">
      <c r="A4" s="9" t="s">
        <v>12</v>
      </c>
      <c r="B4" s="8">
        <v>3021</v>
      </c>
      <c r="C4" s="7">
        <v>1.75</v>
      </c>
      <c r="D4" s="7">
        <f t="shared" si="0"/>
        <v>5286.75</v>
      </c>
      <c r="E4" s="7"/>
    </row>
    <row r="5" spans="1:5" x14ac:dyDescent="0.25">
      <c r="A5" s="9" t="s">
        <v>11</v>
      </c>
      <c r="B5" s="8">
        <v>40</v>
      </c>
      <c r="C5" s="7">
        <v>1.75</v>
      </c>
      <c r="D5" s="7">
        <f t="shared" si="0"/>
        <v>70</v>
      </c>
      <c r="E5" s="7"/>
    </row>
    <row r="6" spans="1:5" x14ac:dyDescent="0.25">
      <c r="A6" s="9" t="s">
        <v>10</v>
      </c>
      <c r="B6" s="8">
        <v>555</v>
      </c>
      <c r="C6" s="7">
        <v>1.65</v>
      </c>
      <c r="D6" s="7">
        <f t="shared" si="0"/>
        <v>915.75</v>
      </c>
      <c r="E6" s="7"/>
    </row>
    <row r="7" spans="1:5" x14ac:dyDescent="0.25">
      <c r="A7" s="9" t="s">
        <v>9</v>
      </c>
      <c r="B7" s="8">
        <v>70</v>
      </c>
      <c r="C7" s="7">
        <v>5.67</v>
      </c>
      <c r="D7" s="7">
        <f t="shared" si="0"/>
        <v>396.9</v>
      </c>
      <c r="E7" s="7"/>
    </row>
    <row r="8" spans="1:5" x14ac:dyDescent="0.25">
      <c r="A8" s="9" t="s">
        <v>8</v>
      </c>
      <c r="B8" s="8">
        <v>2006</v>
      </c>
      <c r="C8" s="7">
        <v>0.18</v>
      </c>
      <c r="D8" s="7">
        <f t="shared" si="0"/>
        <v>361.08</v>
      </c>
      <c r="E8" s="7"/>
    </row>
    <row r="9" spans="1:5" x14ac:dyDescent="0.25">
      <c r="A9" s="9" t="s">
        <v>7</v>
      </c>
      <c r="B9" s="8">
        <v>5236</v>
      </c>
      <c r="C9" s="7">
        <v>0.08</v>
      </c>
      <c r="D9" s="7">
        <f t="shared" si="0"/>
        <v>418.88</v>
      </c>
      <c r="E9" s="7"/>
    </row>
    <row r="10" spans="1:5" x14ac:dyDescent="0.25">
      <c r="A10" s="9" t="s">
        <v>6</v>
      </c>
      <c r="B10" s="8">
        <v>634</v>
      </c>
      <c r="C10" s="7">
        <v>1.68</v>
      </c>
      <c r="D10" s="7">
        <f t="shared" si="0"/>
        <v>1065.1199999999999</v>
      </c>
      <c r="E10" s="7"/>
    </row>
    <row r="11" spans="1:5" x14ac:dyDescent="0.25">
      <c r="A11" s="9" t="s">
        <v>5</v>
      </c>
      <c r="B11" s="8">
        <v>73</v>
      </c>
      <c r="C11" s="7">
        <v>2.5</v>
      </c>
      <c r="D11" s="7">
        <f t="shared" si="0"/>
        <v>182.5</v>
      </c>
      <c r="E11" s="7"/>
    </row>
    <row r="12" spans="1:5" x14ac:dyDescent="0.25">
      <c r="A12" s="9" t="s">
        <v>4</v>
      </c>
      <c r="B12" s="8">
        <v>845</v>
      </c>
      <c r="C12" s="7">
        <v>2.5</v>
      </c>
      <c r="D12" s="7">
        <f t="shared" si="0"/>
        <v>2112.5</v>
      </c>
      <c r="E12" s="7"/>
    </row>
    <row r="13" spans="1:5" x14ac:dyDescent="0.25">
      <c r="A13" s="9" t="s">
        <v>3</v>
      </c>
      <c r="B13" s="8">
        <v>5347</v>
      </c>
      <c r="C13" s="7">
        <v>1.59</v>
      </c>
      <c r="D13" s="7">
        <f t="shared" si="0"/>
        <v>8501.73</v>
      </c>
      <c r="E13" s="7"/>
    </row>
    <row r="14" spans="1:5" x14ac:dyDescent="0.25">
      <c r="A14" s="9" t="s">
        <v>2</v>
      </c>
      <c r="B14" s="8">
        <v>365</v>
      </c>
      <c r="C14" s="7">
        <v>0.33</v>
      </c>
      <c r="D14" s="7">
        <f t="shared" si="0"/>
        <v>120.45</v>
      </c>
      <c r="E14" s="7"/>
    </row>
    <row r="15" spans="1:5" ht="15.75" thickBot="1" x14ac:dyDescent="0.3">
      <c r="A15" s="6" t="s">
        <v>1</v>
      </c>
      <c r="B15" s="5">
        <v>2345</v>
      </c>
      <c r="C15" s="4">
        <v>0.33</v>
      </c>
      <c r="D15" s="4">
        <f t="shared" si="0"/>
        <v>773.85</v>
      </c>
      <c r="E15" s="4"/>
    </row>
    <row r="16" spans="1:5" ht="15.75" thickBot="1" x14ac:dyDescent="0.3"/>
    <row r="17" spans="1:6" ht="15.75" thickBot="1" x14ac:dyDescent="0.3">
      <c r="A17" s="3" t="s">
        <v>0</v>
      </c>
      <c r="B17" s="20"/>
      <c r="C17" s="21"/>
      <c r="D17" s="22"/>
      <c r="E17" s="22"/>
      <c r="F17" s="2"/>
    </row>
    <row r="19" spans="1:6" x14ac:dyDescent="0.25">
      <c r="A19" s="23" t="s">
        <v>21</v>
      </c>
      <c r="B19" s="24">
        <v>0.21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brero1"/>
  <dimension ref="A1:F19"/>
  <sheetViews>
    <sheetView workbookViewId="0">
      <selection activeCell="B19" sqref="B19"/>
    </sheetView>
  </sheetViews>
  <sheetFormatPr baseColWidth="10" defaultRowHeight="15" x14ac:dyDescent="0.25"/>
  <cols>
    <col min="1" max="1" width="33" style="1" customWidth="1"/>
    <col min="2" max="5" width="16.85546875" style="1" customWidth="1"/>
    <col min="6" max="16384" width="11.42578125" style="1"/>
  </cols>
  <sheetData>
    <row r="1" spans="1:5" ht="15.75" thickBot="1" x14ac:dyDescent="0.3">
      <c r="A1" s="19" t="s">
        <v>19</v>
      </c>
      <c r="B1" s="18" t="s">
        <v>23</v>
      </c>
      <c r="C1" s="17"/>
      <c r="D1" s="17"/>
      <c r="E1" s="17"/>
    </row>
    <row r="2" spans="1:5" ht="15.75" thickBot="1" x14ac:dyDescent="0.3">
      <c r="A2" s="16" t="s">
        <v>17</v>
      </c>
      <c r="B2" s="15" t="s">
        <v>16</v>
      </c>
      <c r="C2" s="14" t="s">
        <v>15</v>
      </c>
      <c r="D2" s="14" t="s">
        <v>14</v>
      </c>
      <c r="E2" s="14" t="s">
        <v>20</v>
      </c>
    </row>
    <row r="3" spans="1:5" ht="15.75" thickTop="1" x14ac:dyDescent="0.25">
      <c r="A3" s="13" t="s">
        <v>13</v>
      </c>
      <c r="B3" s="12">
        <v>654</v>
      </c>
      <c r="C3" s="11">
        <v>0.14000000000000001</v>
      </c>
      <c r="D3" s="11">
        <f t="shared" ref="D3:D15" si="0">B3*C3</f>
        <v>91.56</v>
      </c>
      <c r="E3" s="11"/>
    </row>
    <row r="4" spans="1:5" x14ac:dyDescent="0.25">
      <c r="A4" s="9" t="s">
        <v>12</v>
      </c>
      <c r="B4" s="8">
        <v>6456</v>
      </c>
      <c r="C4" s="7">
        <v>1.75</v>
      </c>
      <c r="D4" s="7">
        <f t="shared" si="0"/>
        <v>11298</v>
      </c>
      <c r="E4" s="7"/>
    </row>
    <row r="5" spans="1:5" x14ac:dyDescent="0.25">
      <c r="A5" s="9" t="s">
        <v>11</v>
      </c>
      <c r="B5" s="8">
        <v>87</v>
      </c>
      <c r="C5" s="7">
        <v>1.75</v>
      </c>
      <c r="D5" s="7">
        <f t="shared" si="0"/>
        <v>152.25</v>
      </c>
      <c r="E5" s="7"/>
    </row>
    <row r="6" spans="1:5" x14ac:dyDescent="0.25">
      <c r="A6" s="9" t="s">
        <v>10</v>
      </c>
      <c r="B6" s="8">
        <v>678</v>
      </c>
      <c r="C6" s="7">
        <v>1.65</v>
      </c>
      <c r="D6" s="7">
        <f t="shared" si="0"/>
        <v>1118.7</v>
      </c>
      <c r="E6" s="7"/>
    </row>
    <row r="7" spans="1:5" x14ac:dyDescent="0.25">
      <c r="A7" s="9" t="s">
        <v>9</v>
      </c>
      <c r="B7" s="8">
        <v>57</v>
      </c>
      <c r="C7" s="7">
        <v>5.67</v>
      </c>
      <c r="D7" s="7">
        <f t="shared" si="0"/>
        <v>323.19</v>
      </c>
      <c r="E7" s="7"/>
    </row>
    <row r="8" spans="1:5" x14ac:dyDescent="0.25">
      <c r="A8" s="9" t="s">
        <v>8</v>
      </c>
      <c r="B8" s="8">
        <v>999</v>
      </c>
      <c r="C8" s="7">
        <v>0.18</v>
      </c>
      <c r="D8" s="7">
        <f t="shared" si="0"/>
        <v>179.82</v>
      </c>
      <c r="E8" s="7"/>
    </row>
    <row r="9" spans="1:5" x14ac:dyDescent="0.25">
      <c r="A9" s="9" t="s">
        <v>7</v>
      </c>
      <c r="B9" s="8">
        <v>2543</v>
      </c>
      <c r="C9" s="7">
        <v>0.08</v>
      </c>
      <c r="D9" s="7">
        <f t="shared" si="0"/>
        <v>203.44</v>
      </c>
      <c r="E9" s="7"/>
    </row>
    <row r="10" spans="1:5" x14ac:dyDescent="0.25">
      <c r="A10" s="9" t="s">
        <v>6</v>
      </c>
      <c r="B10" s="10">
        <v>756</v>
      </c>
      <c r="C10" s="7">
        <v>1.68</v>
      </c>
      <c r="D10" s="7">
        <f t="shared" si="0"/>
        <v>1270.08</v>
      </c>
      <c r="E10" s="25"/>
    </row>
    <row r="11" spans="1:5" x14ac:dyDescent="0.25">
      <c r="A11" s="9" t="s">
        <v>5</v>
      </c>
      <c r="B11" s="8">
        <v>75</v>
      </c>
      <c r="C11" s="7">
        <v>2.5</v>
      </c>
      <c r="D11" s="7">
        <f t="shared" si="0"/>
        <v>187.5</v>
      </c>
      <c r="E11" s="7"/>
    </row>
    <row r="12" spans="1:5" x14ac:dyDescent="0.25">
      <c r="A12" s="9" t="s">
        <v>4</v>
      </c>
      <c r="B12" s="8">
        <v>857</v>
      </c>
      <c r="C12" s="7">
        <v>2.5</v>
      </c>
      <c r="D12" s="7">
        <f t="shared" si="0"/>
        <v>2142.5</v>
      </c>
      <c r="E12" s="7"/>
    </row>
    <row r="13" spans="1:5" x14ac:dyDescent="0.25">
      <c r="A13" s="9" t="s">
        <v>3</v>
      </c>
      <c r="B13" s="8">
        <v>7674</v>
      </c>
      <c r="C13" s="7">
        <v>1.59</v>
      </c>
      <c r="D13" s="7">
        <f t="shared" si="0"/>
        <v>12201.66</v>
      </c>
      <c r="E13" s="7"/>
    </row>
    <row r="14" spans="1:5" x14ac:dyDescent="0.25">
      <c r="A14" s="9" t="s">
        <v>2</v>
      </c>
      <c r="B14" s="8">
        <v>645</v>
      </c>
      <c r="C14" s="7">
        <v>0.33</v>
      </c>
      <c r="D14" s="7">
        <f t="shared" si="0"/>
        <v>212.85000000000002</v>
      </c>
      <c r="E14" s="7"/>
    </row>
    <row r="15" spans="1:5" ht="15.75" thickBot="1" x14ac:dyDescent="0.3">
      <c r="A15" s="6" t="s">
        <v>1</v>
      </c>
      <c r="B15" s="5">
        <v>6455</v>
      </c>
      <c r="C15" s="4">
        <v>0.33</v>
      </c>
      <c r="D15" s="4">
        <f t="shared" si="0"/>
        <v>2130.15</v>
      </c>
      <c r="E15" s="4"/>
    </row>
    <row r="16" spans="1:5" ht="15.75" thickBot="1" x14ac:dyDescent="0.3"/>
    <row r="17" spans="1:6" ht="15.75" thickBot="1" x14ac:dyDescent="0.3">
      <c r="A17" s="3" t="s">
        <v>0</v>
      </c>
      <c r="B17" s="26"/>
      <c r="C17" s="27"/>
      <c r="D17" s="27"/>
      <c r="E17" s="22"/>
      <c r="F17" s="2"/>
    </row>
    <row r="19" spans="1:6" x14ac:dyDescent="0.25">
      <c r="A19" s="23" t="s">
        <v>21</v>
      </c>
      <c r="B19" s="28">
        <v>0.21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I18"/>
  <sheetViews>
    <sheetView workbookViewId="0">
      <selection activeCell="D12" sqref="D12"/>
    </sheetView>
  </sheetViews>
  <sheetFormatPr baseColWidth="10" defaultRowHeight="15" x14ac:dyDescent="0.25"/>
  <cols>
    <col min="1" max="1" width="10.7109375" style="1" customWidth="1"/>
    <col min="2" max="2" width="9.28515625" style="1" bestFit="1" customWidth="1"/>
    <col min="3" max="8" width="15" style="1" customWidth="1"/>
    <col min="9" max="16384" width="11.42578125" style="1"/>
  </cols>
  <sheetData>
    <row r="1" spans="1:9" x14ac:dyDescent="0.25">
      <c r="A1" s="29" t="s">
        <v>17</v>
      </c>
      <c r="B1" s="30" t="s">
        <v>24</v>
      </c>
      <c r="C1" s="31" t="s">
        <v>16</v>
      </c>
      <c r="D1" s="32" t="s">
        <v>25</v>
      </c>
      <c r="E1" s="45" t="s">
        <v>26</v>
      </c>
      <c r="F1" s="45" t="s">
        <v>27</v>
      </c>
      <c r="G1" s="46" t="s">
        <v>0</v>
      </c>
      <c r="H1"/>
    </row>
    <row r="2" spans="1:9" ht="15.75" thickBot="1" x14ac:dyDescent="0.3">
      <c r="A2" s="47" t="s">
        <v>28</v>
      </c>
      <c r="B2" s="48">
        <v>2</v>
      </c>
      <c r="C2" s="49">
        <v>5</v>
      </c>
      <c r="D2" s="4">
        <v>2.1</v>
      </c>
      <c r="E2" s="50"/>
      <c r="F2" s="4"/>
      <c r="G2" s="51"/>
      <c r="H2"/>
    </row>
    <row r="3" spans="1:9" ht="15.75" thickBot="1" x14ac:dyDescent="0.3"/>
    <row r="4" spans="1:9" s="35" customFormat="1" ht="15.75" hidden="1" thickBot="1" x14ac:dyDescent="0.3">
      <c r="A4" s="33"/>
      <c r="B4" s="33"/>
      <c r="C4" s="34"/>
    </row>
    <row r="5" spans="1:9" ht="15.75" hidden="1" thickBot="1" x14ac:dyDescent="0.3"/>
    <row r="6" spans="1:9" x14ac:dyDescent="0.25">
      <c r="A6" s="36" t="s">
        <v>21</v>
      </c>
      <c r="B6" s="37"/>
      <c r="D6"/>
      <c r="E6"/>
      <c r="F6"/>
      <c r="G6"/>
      <c r="H6"/>
      <c r="I6"/>
    </row>
    <row r="7" spans="1:9" x14ac:dyDescent="0.25">
      <c r="A7" s="38" t="s">
        <v>29</v>
      </c>
      <c r="B7" s="39"/>
      <c r="D7"/>
      <c r="E7"/>
      <c r="F7"/>
      <c r="G7"/>
      <c r="H7"/>
      <c r="I7"/>
    </row>
    <row r="8" spans="1:9" x14ac:dyDescent="0.25">
      <c r="A8" s="38">
        <v>1</v>
      </c>
      <c r="B8" s="40">
        <v>0.18</v>
      </c>
      <c r="D8"/>
      <c r="E8"/>
      <c r="F8"/>
      <c r="G8"/>
      <c r="H8"/>
      <c r="I8"/>
    </row>
    <row r="9" spans="1:9" ht="15.75" thickBot="1" x14ac:dyDescent="0.3">
      <c r="A9" s="41">
        <v>2</v>
      </c>
      <c r="B9" s="42">
        <v>0.22</v>
      </c>
      <c r="D9"/>
      <c r="E9"/>
      <c r="F9"/>
      <c r="G9"/>
      <c r="H9"/>
      <c r="I9"/>
    </row>
    <row r="10" spans="1:9" ht="15.75" thickBot="1" x14ac:dyDescent="0.3">
      <c r="D10"/>
      <c r="E10"/>
      <c r="F10"/>
      <c r="G10"/>
      <c r="H10"/>
      <c r="I10"/>
    </row>
    <row r="11" spans="1:9" ht="15.75" thickBot="1" x14ac:dyDescent="0.3">
      <c r="A11" s="43" t="s">
        <v>27</v>
      </c>
      <c r="B11" s="44">
        <v>0.1</v>
      </c>
      <c r="D11"/>
      <c r="E11"/>
      <c r="F11"/>
      <c r="G11"/>
      <c r="H11"/>
      <c r="I11"/>
    </row>
    <row r="12" spans="1:9" x14ac:dyDescent="0.25">
      <c r="D12"/>
      <c r="E12"/>
      <c r="F12"/>
      <c r="G12"/>
      <c r="H12"/>
      <c r="I12"/>
    </row>
    <row r="13" spans="1:9" x14ac:dyDescent="0.25">
      <c r="D13"/>
      <c r="E13"/>
      <c r="F13"/>
      <c r="G13"/>
      <c r="H13"/>
      <c r="I13"/>
    </row>
    <row r="14" spans="1:9" x14ac:dyDescent="0.25">
      <c r="D14"/>
      <c r="E14"/>
      <c r="F14"/>
      <c r="G14"/>
      <c r="H14"/>
      <c r="I14"/>
    </row>
    <row r="15" spans="1:9" x14ac:dyDescent="0.25">
      <c r="D15"/>
      <c r="E15"/>
      <c r="F15"/>
      <c r="G15"/>
      <c r="H15"/>
      <c r="I15"/>
    </row>
    <row r="18" spans="6:6" x14ac:dyDescent="0.25">
      <c r="F18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D16"/>
  <sheetViews>
    <sheetView workbookViewId="0">
      <selection sqref="A1:D16"/>
    </sheetView>
  </sheetViews>
  <sheetFormatPr baseColWidth="10" defaultRowHeight="15" x14ac:dyDescent="0.25"/>
  <sheetData>
    <row r="1" spans="1:4" ht="15.75" thickBot="1" x14ac:dyDescent="0.3">
      <c r="A1" s="52"/>
      <c r="B1" s="53" t="s">
        <v>30</v>
      </c>
      <c r="C1" s="53" t="s">
        <v>31</v>
      </c>
      <c r="D1" s="54" t="s">
        <v>32</v>
      </c>
    </row>
    <row r="2" spans="1:4" x14ac:dyDescent="0.25">
      <c r="A2" s="55">
        <v>1</v>
      </c>
      <c r="B2" s="55" t="s">
        <v>33</v>
      </c>
      <c r="C2" s="55">
        <v>2345</v>
      </c>
      <c r="D2" s="55">
        <v>1342</v>
      </c>
    </row>
    <row r="3" spans="1:4" x14ac:dyDescent="0.25">
      <c r="A3" s="56">
        <v>2</v>
      </c>
      <c r="B3" s="56" t="s">
        <v>34</v>
      </c>
      <c r="C3" s="56">
        <v>3654</v>
      </c>
      <c r="D3" s="56">
        <v>1456</v>
      </c>
    </row>
    <row r="4" spans="1:4" x14ac:dyDescent="0.25">
      <c r="A4" s="56">
        <v>3</v>
      </c>
      <c r="B4" s="56" t="s">
        <v>35</v>
      </c>
      <c r="C4" s="56">
        <v>2568</v>
      </c>
      <c r="D4" s="56">
        <v>1245</v>
      </c>
    </row>
    <row r="5" spans="1:4" x14ac:dyDescent="0.25">
      <c r="A5" s="56">
        <v>4</v>
      </c>
      <c r="B5" s="56" t="s">
        <v>36</v>
      </c>
      <c r="C5" s="56">
        <v>3643</v>
      </c>
      <c r="D5" s="56">
        <v>2456</v>
      </c>
    </row>
    <row r="6" spans="1:4" x14ac:dyDescent="0.25">
      <c r="A6" s="56">
        <v>5</v>
      </c>
      <c r="B6" s="56" t="s">
        <v>37</v>
      </c>
      <c r="C6" s="56">
        <v>2986</v>
      </c>
      <c r="D6" s="56">
        <v>3244</v>
      </c>
    </row>
    <row r="7" spans="1:4" x14ac:dyDescent="0.25">
      <c r="A7" s="56">
        <v>6</v>
      </c>
      <c r="B7" s="56" t="s">
        <v>38</v>
      </c>
      <c r="C7" s="56">
        <v>4987</v>
      </c>
      <c r="D7" s="56">
        <v>2987</v>
      </c>
    </row>
    <row r="8" spans="1:4" x14ac:dyDescent="0.25">
      <c r="A8" s="56">
        <v>7</v>
      </c>
      <c r="B8" s="56" t="s">
        <v>39</v>
      </c>
      <c r="C8" s="56">
        <v>3667</v>
      </c>
      <c r="D8" s="56">
        <v>1879</v>
      </c>
    </row>
    <row r="9" spans="1:4" x14ac:dyDescent="0.25">
      <c r="A9" s="56">
        <v>8</v>
      </c>
      <c r="B9" s="56" t="s">
        <v>40</v>
      </c>
      <c r="C9" s="56">
        <v>789</v>
      </c>
      <c r="D9" s="56">
        <v>688</v>
      </c>
    </row>
    <row r="10" spans="1:4" x14ac:dyDescent="0.25">
      <c r="A10" s="56">
        <v>9</v>
      </c>
      <c r="B10" s="56" t="s">
        <v>41</v>
      </c>
      <c r="C10" s="56">
        <v>2568</v>
      </c>
      <c r="D10" s="56">
        <v>967</v>
      </c>
    </row>
    <row r="11" spans="1:4" x14ac:dyDescent="0.25">
      <c r="A11" s="56">
        <v>10</v>
      </c>
      <c r="B11" s="56" t="s">
        <v>42</v>
      </c>
      <c r="C11" s="56">
        <v>1200</v>
      </c>
      <c r="D11" s="56">
        <v>800</v>
      </c>
    </row>
    <row r="12" spans="1:4" x14ac:dyDescent="0.25">
      <c r="A12" s="56">
        <v>11</v>
      </c>
      <c r="B12" s="56" t="s">
        <v>43</v>
      </c>
      <c r="C12" s="56">
        <v>2454</v>
      </c>
      <c r="D12" s="56"/>
    </row>
    <row r="13" spans="1:4" x14ac:dyDescent="0.25">
      <c r="A13" s="56">
        <v>12</v>
      </c>
      <c r="B13" s="56" t="s">
        <v>44</v>
      </c>
      <c r="C13" s="56">
        <v>1133</v>
      </c>
      <c r="D13" s="56"/>
    </row>
    <row r="15" spans="1:4" x14ac:dyDescent="0.25">
      <c r="B15" s="57"/>
    </row>
    <row r="16" spans="1:4" x14ac:dyDescent="0.25">
      <c r="A16" s="58"/>
      <c r="B16" s="56" t="str">
        <f ca="1">INDEX(A2:C13,MATCH(MONTH(TODAY()),A2:A13),2)</f>
        <v>Septiembre</v>
      </c>
      <c r="C16" s="56">
        <f ca="1">INDEX(A2:D13,MATCH(B16,B2:B13,0),3)</f>
        <v>2568</v>
      </c>
      <c r="D16" s="59">
        <f ca="1">INDEX(A2:D13,MATCH(B16,B2:B13,0),4)</f>
        <v>967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Pedidos febrero</vt:lpstr>
      <vt:lpstr>Pedidos marzo</vt:lpstr>
      <vt:lpstr>Pedidos Abril </vt:lpstr>
      <vt:lpstr>Cálculo total</vt:lpstr>
      <vt:lpstr>Comparativa beneficio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alex1dique</cp:lastModifiedBy>
  <dcterms:created xsi:type="dcterms:W3CDTF">2012-09-11T02:18:41Z</dcterms:created>
  <dcterms:modified xsi:type="dcterms:W3CDTF">2022-09-14T12:06:24Z</dcterms:modified>
</cp:coreProperties>
</file>
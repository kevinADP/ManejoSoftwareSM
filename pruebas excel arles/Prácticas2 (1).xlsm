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522dc4eb5621e82/Documentos/CICLO II_18_07_2022_UES/Manejo de Software para Microcomputadoras/"/>
    </mc:Choice>
  </mc:AlternateContent>
  <xr:revisionPtr revIDLastSave="0" documentId="13_ncr:1_{0715C6F9-02E1-4BA1-90E4-C4AC49001515}" xr6:coauthVersionLast="47" xr6:coauthVersionMax="47" xr10:uidLastSave="{00000000-0000-0000-0000-000000000000}"/>
  <bookViews>
    <workbookView xWindow="-48" yWindow="-48" windowWidth="23136" windowHeight="13056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</externalReferences>
  <definedNames>
    <definedName name="IVA_totales">[1]Pedidos_enero!#REF!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6" i="3" l="1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<sst xmlns="http://schemas.openxmlformats.org/spreadsheetml/2006/main" count="90" uniqueCount="47">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</sst>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Font="1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ont="1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left" vertical="center" wrapText="1"/>
    </xf>
    <xf numFmtId="9" fontId="0" fillId="7" borderId="0" xfId="1" applyFont="1" applyFill="1"/>
    <xf numFmtId="0" fontId="0" fillId="7" borderId="0" xfId="0" applyFont="1" applyFill="1"/>
    <xf numFmtId="0" fontId="0" fillId="8" borderId="22" xfId="0" applyFont="1" applyFill="1" applyBorder="1"/>
    <xf numFmtId="0" fontId="0" fillId="8" borderId="23" xfId="0" applyFont="1" applyFill="1" applyBorder="1"/>
    <xf numFmtId="0" fontId="0" fillId="8" borderId="24" xfId="0" applyFont="1" applyFill="1" applyBorder="1"/>
    <xf numFmtId="0" fontId="0" fillId="8" borderId="25" xfId="0" applyFont="1" applyFill="1" applyBorder="1"/>
    <xf numFmtId="9" fontId="0" fillId="8" borderId="25" xfId="1" applyFont="1" applyFill="1" applyBorder="1"/>
    <xf numFmtId="0" fontId="0" fillId="8" borderId="26" xfId="0" applyFont="1" applyFill="1" applyBorder="1"/>
    <xf numFmtId="9" fontId="0" fillId="8" borderId="27" xfId="1" applyFont="1" applyFill="1" applyBorder="1"/>
    <xf numFmtId="0" fontId="0" fillId="0" borderId="28" xfId="0" applyFont="1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0" fillId="0" borderId="28" xfId="0" applyBorder="1"/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0" fillId="0" borderId="0" xfId="0" applyNumberFormat="1"/>
    <xf numFmtId="0" fontId="8" fillId="7" borderId="7" xfId="0" applyFont="1" applyFill="1" applyBorder="1"/>
    <xf numFmtId="3" fontId="7" fillId="0" borderId="2" xfId="0" applyNumberFormat="1" applyFont="1" applyFill="1" applyBorder="1" applyAlignment="1">
      <alignment horizontal="center" vertical="center"/>
    </xf>
    <xf numFmtId="10" fontId="0" fillId="0" borderId="0" xfId="0" applyNumberFormat="1" applyFont="1"/>
    <xf numFmtId="168" fontId="0" fillId="5" borderId="16" xfId="0" applyNumberFormat="1" applyFon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 applyFont="1"/>
    <xf numFmtId="168" fontId="7" fillId="0" borderId="1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&#225;cticas%201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tabSelected="1" workbookViewId="0">
      <selection activeCell="F11" sqref="F11"/>
    </sheetView>
  </sheetViews>
  <sheetFormatPr baseColWidth="10" defaultColWidth="11.44140625" defaultRowHeight="14.4" x14ac:dyDescent="0.3"/>
  <cols>
    <col min="1" max="1" width="33" style="1" customWidth="1"/>
    <col min="2" max="2" width="16.88671875" style="1" customWidth="1"/>
    <col min="3" max="4" width="16.88671875" style="67" customWidth="1"/>
    <col min="5" max="16384" width="11.44140625" style="1"/>
  </cols>
  <sheetData>
    <row r="1" spans="1:5" ht="15" thickBot="1" x14ac:dyDescent="0.35">
      <c r="A1" s="19" t="s">
        <v>19</v>
      </c>
      <c r="B1" s="18" t="s">
        <v>18</v>
      </c>
      <c r="C1" s="62"/>
      <c r="D1" s="62"/>
    </row>
    <row r="2" spans="1:5" ht="15" thickBot="1" x14ac:dyDescent="0.35">
      <c r="A2" s="16" t="s">
        <v>17</v>
      </c>
      <c r="B2" s="15" t="s">
        <v>16</v>
      </c>
      <c r="C2" s="63" t="s">
        <v>46</v>
      </c>
      <c r="D2" s="63" t="s">
        <v>45</v>
      </c>
      <c r="E2" s="71"/>
    </row>
    <row r="3" spans="1:5" ht="15" thickTop="1" x14ac:dyDescent="0.3">
      <c r="A3" s="13" t="s">
        <v>13</v>
      </c>
      <c r="B3" s="12">
        <v>432</v>
      </c>
      <c r="C3" s="64">
        <v>0.14000000000000001</v>
      </c>
      <c r="D3" s="64">
        <f t="shared" ref="D3:D15" si="0">B3*C3</f>
        <v>60.480000000000004</v>
      </c>
    </row>
    <row r="4" spans="1:5" x14ac:dyDescent="0.3">
      <c r="A4" s="9" t="s">
        <v>12</v>
      </c>
      <c r="B4" s="8">
        <v>2342</v>
      </c>
      <c r="C4" s="65">
        <v>1.75</v>
      </c>
      <c r="D4" s="65">
        <f t="shared" si="0"/>
        <v>4098.5</v>
      </c>
    </row>
    <row r="5" spans="1:5" x14ac:dyDescent="0.3">
      <c r="A5" s="9" t="s">
        <v>11</v>
      </c>
      <c r="B5" s="8">
        <v>26</v>
      </c>
      <c r="C5" s="65">
        <v>1.75</v>
      </c>
      <c r="D5" s="65">
        <f t="shared" si="0"/>
        <v>45.5</v>
      </c>
    </row>
    <row r="6" spans="1:5" x14ac:dyDescent="0.3">
      <c r="A6" s="9" t="s">
        <v>10</v>
      </c>
      <c r="B6" s="8">
        <v>654</v>
      </c>
      <c r="C6" s="65">
        <v>1.65</v>
      </c>
      <c r="D6" s="65">
        <f t="shared" si="0"/>
        <v>1079.0999999999999</v>
      </c>
    </row>
    <row r="7" spans="1:5" x14ac:dyDescent="0.3">
      <c r="A7" s="9" t="s">
        <v>9</v>
      </c>
      <c r="B7" s="8">
        <v>70</v>
      </c>
      <c r="C7" s="65">
        <v>5.67</v>
      </c>
      <c r="D7" s="65">
        <f t="shared" si="0"/>
        <v>396.9</v>
      </c>
    </row>
    <row r="8" spans="1:5" x14ac:dyDescent="0.3">
      <c r="A8" s="9" t="s">
        <v>8</v>
      </c>
      <c r="B8" s="8">
        <v>3435</v>
      </c>
      <c r="C8" s="65">
        <v>0.18</v>
      </c>
      <c r="D8" s="65">
        <f t="shared" si="0"/>
        <v>618.29999999999995</v>
      </c>
    </row>
    <row r="9" spans="1:5" x14ac:dyDescent="0.3">
      <c r="A9" s="9" t="s">
        <v>7</v>
      </c>
      <c r="B9" s="8">
        <v>4757</v>
      </c>
      <c r="C9" s="65">
        <v>0.08</v>
      </c>
      <c r="D9" s="65">
        <f t="shared" si="0"/>
        <v>380.56</v>
      </c>
    </row>
    <row r="10" spans="1:5" x14ac:dyDescent="0.3">
      <c r="A10" s="9" t="s">
        <v>6</v>
      </c>
      <c r="B10" s="10">
        <v>645</v>
      </c>
      <c r="C10" s="65">
        <v>1.68</v>
      </c>
      <c r="D10" s="65">
        <f t="shared" si="0"/>
        <v>1083.5999999999999</v>
      </c>
    </row>
    <row r="11" spans="1:5" x14ac:dyDescent="0.3">
      <c r="A11" s="9" t="s">
        <v>5</v>
      </c>
      <c r="B11" s="8">
        <v>68</v>
      </c>
      <c r="C11" s="65">
        <v>2.5</v>
      </c>
      <c r="D11" s="65">
        <f t="shared" si="0"/>
        <v>170</v>
      </c>
    </row>
    <row r="12" spans="1:5" x14ac:dyDescent="0.3">
      <c r="A12" s="9" t="s">
        <v>4</v>
      </c>
      <c r="B12" s="8">
        <v>543</v>
      </c>
      <c r="C12" s="65">
        <v>2.5</v>
      </c>
      <c r="D12" s="65">
        <f t="shared" si="0"/>
        <v>1357.5</v>
      </c>
    </row>
    <row r="13" spans="1:5" x14ac:dyDescent="0.3">
      <c r="A13" s="9" t="s">
        <v>3</v>
      </c>
      <c r="B13" s="8">
        <v>3456</v>
      </c>
      <c r="C13" s="65">
        <v>1.59</v>
      </c>
      <c r="D13" s="65">
        <f t="shared" si="0"/>
        <v>5495.04</v>
      </c>
    </row>
    <row r="14" spans="1:5" x14ac:dyDescent="0.3">
      <c r="A14" s="9" t="s">
        <v>2</v>
      </c>
      <c r="B14" s="8">
        <v>345</v>
      </c>
      <c r="C14" s="65">
        <v>0.33</v>
      </c>
      <c r="D14" s="65">
        <f t="shared" si="0"/>
        <v>113.85000000000001</v>
      </c>
    </row>
    <row r="15" spans="1:5" ht="15" thickBot="1" x14ac:dyDescent="0.35">
      <c r="A15" s="6" t="s">
        <v>1</v>
      </c>
      <c r="B15" s="5">
        <v>3500</v>
      </c>
      <c r="C15" s="66">
        <v>0.33</v>
      </c>
      <c r="D15" s="66">
        <f t="shared" si="0"/>
        <v>1155</v>
      </c>
    </row>
    <row r="16" spans="1:5" ht="15" thickBot="1" x14ac:dyDescent="0.35"/>
    <row r="17" spans="1:6" ht="15" thickBot="1" x14ac:dyDescent="0.35">
      <c r="A17" s="3" t="s">
        <v>0</v>
      </c>
      <c r="B17" s="60"/>
      <c r="C17" s="68"/>
      <c r="D17" s="69"/>
      <c r="F17" s="2"/>
    </row>
    <row r="19" spans="1:6" x14ac:dyDescent="0.3">
      <c r="A19" s="70"/>
      <c r="B19" s="6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D6" sqref="D6"/>
    </sheetView>
  </sheetViews>
  <sheetFormatPr baseColWidth="10" defaultColWidth="11.44140625" defaultRowHeight="14.4" x14ac:dyDescent="0.3"/>
  <cols>
    <col min="1" max="1" width="33" style="1" customWidth="1"/>
    <col min="2" max="5" width="16.88671875" style="1" customWidth="1"/>
    <col min="6" max="16384" width="11.44140625" style="1"/>
  </cols>
  <sheetData>
    <row r="1" spans="1:5" ht="15" thickBot="1" x14ac:dyDescent="0.35">
      <c r="A1" s="19" t="s">
        <v>19</v>
      </c>
      <c r="B1" s="18" t="s">
        <v>22</v>
      </c>
      <c r="C1" s="17"/>
      <c r="D1" s="17"/>
      <c r="E1" s="17"/>
    </row>
    <row r="2" spans="1:5" ht="15" thickBot="1" x14ac:dyDescent="0.35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" thickTop="1" x14ac:dyDescent="0.3">
      <c r="A3" s="13" t="s">
        <v>13</v>
      </c>
      <c r="B3" s="12">
        <v>321</v>
      </c>
      <c r="C3" s="11">
        <v>0.14000000000000001</v>
      </c>
      <c r="D3" s="11">
        <f t="shared" ref="D3:D15" si="0">B3*C3</f>
        <v>44.940000000000005</v>
      </c>
      <c r="E3" s="11"/>
    </row>
    <row r="4" spans="1:5" x14ac:dyDescent="0.3">
      <c r="A4" s="9" t="s">
        <v>12</v>
      </c>
      <c r="B4" s="8">
        <v>3021</v>
      </c>
      <c r="C4" s="7">
        <v>1.75</v>
      </c>
      <c r="D4" s="7">
        <f t="shared" si="0"/>
        <v>5286.75</v>
      </c>
      <c r="E4" s="7"/>
    </row>
    <row r="5" spans="1:5" x14ac:dyDescent="0.3">
      <c r="A5" s="9" t="s">
        <v>11</v>
      </c>
      <c r="B5" s="8">
        <v>40</v>
      </c>
      <c r="C5" s="7">
        <v>1.75</v>
      </c>
      <c r="D5" s="7">
        <f t="shared" si="0"/>
        <v>70</v>
      </c>
      <c r="E5" s="7"/>
    </row>
    <row r="6" spans="1:5" x14ac:dyDescent="0.3">
      <c r="A6" s="9" t="s">
        <v>10</v>
      </c>
      <c r="B6" s="8">
        <v>555</v>
      </c>
      <c r="C6" s="7">
        <v>1.65</v>
      </c>
      <c r="D6" s="7">
        <f t="shared" si="0"/>
        <v>915.75</v>
      </c>
      <c r="E6" s="7"/>
    </row>
    <row r="7" spans="1:5" x14ac:dyDescent="0.3">
      <c r="A7" s="9" t="s">
        <v>9</v>
      </c>
      <c r="B7" s="8">
        <v>70</v>
      </c>
      <c r="C7" s="7">
        <v>5.67</v>
      </c>
      <c r="D7" s="7">
        <f t="shared" si="0"/>
        <v>396.9</v>
      </c>
      <c r="E7" s="7"/>
    </row>
    <row r="8" spans="1:5" x14ac:dyDescent="0.3">
      <c r="A8" s="9" t="s">
        <v>8</v>
      </c>
      <c r="B8" s="8">
        <v>2006</v>
      </c>
      <c r="C8" s="7">
        <v>0.18</v>
      </c>
      <c r="D8" s="7">
        <f t="shared" si="0"/>
        <v>361.08</v>
      </c>
      <c r="E8" s="7"/>
    </row>
    <row r="9" spans="1:5" x14ac:dyDescent="0.3">
      <c r="A9" s="9" t="s">
        <v>7</v>
      </c>
      <c r="B9" s="8">
        <v>5236</v>
      </c>
      <c r="C9" s="7">
        <v>0.08</v>
      </c>
      <c r="D9" s="7">
        <f t="shared" si="0"/>
        <v>418.88</v>
      </c>
      <c r="E9" s="7"/>
    </row>
    <row r="10" spans="1:5" x14ac:dyDescent="0.3">
      <c r="A10" s="9" t="s">
        <v>6</v>
      </c>
      <c r="B10" s="8">
        <v>634</v>
      </c>
      <c r="C10" s="7">
        <v>1.68</v>
      </c>
      <c r="D10" s="7">
        <f t="shared" si="0"/>
        <v>1065.1199999999999</v>
      </c>
      <c r="E10" s="7"/>
    </row>
    <row r="11" spans="1:5" x14ac:dyDescent="0.3">
      <c r="A11" s="9" t="s">
        <v>5</v>
      </c>
      <c r="B11" s="8">
        <v>73</v>
      </c>
      <c r="C11" s="7">
        <v>2.5</v>
      </c>
      <c r="D11" s="7">
        <f t="shared" si="0"/>
        <v>182.5</v>
      </c>
      <c r="E11" s="7"/>
    </row>
    <row r="12" spans="1:5" x14ac:dyDescent="0.3">
      <c r="A12" s="9" t="s">
        <v>4</v>
      </c>
      <c r="B12" s="8">
        <v>845</v>
      </c>
      <c r="C12" s="7">
        <v>2.5</v>
      </c>
      <c r="D12" s="7">
        <f t="shared" si="0"/>
        <v>2112.5</v>
      </c>
      <c r="E12" s="7"/>
    </row>
    <row r="13" spans="1:5" x14ac:dyDescent="0.3">
      <c r="A13" s="9" t="s">
        <v>3</v>
      </c>
      <c r="B13" s="8">
        <v>5347</v>
      </c>
      <c r="C13" s="7">
        <v>1.59</v>
      </c>
      <c r="D13" s="7">
        <f t="shared" si="0"/>
        <v>8501.73</v>
      </c>
      <c r="E13" s="7"/>
    </row>
    <row r="14" spans="1:5" x14ac:dyDescent="0.3">
      <c r="A14" s="9" t="s">
        <v>2</v>
      </c>
      <c r="B14" s="8">
        <v>365</v>
      </c>
      <c r="C14" s="7">
        <v>0.33</v>
      </c>
      <c r="D14" s="7">
        <f t="shared" si="0"/>
        <v>120.45</v>
      </c>
      <c r="E14" s="7"/>
    </row>
    <row r="15" spans="1:5" ht="15" thickBot="1" x14ac:dyDescent="0.35">
      <c r="A15" s="6" t="s">
        <v>1</v>
      </c>
      <c r="B15" s="5">
        <v>2345</v>
      </c>
      <c r="C15" s="4">
        <v>0.33</v>
      </c>
      <c r="D15" s="4">
        <f t="shared" si="0"/>
        <v>773.85</v>
      </c>
      <c r="E15" s="4"/>
    </row>
    <row r="16" spans="1:5" ht="15" thickBot="1" x14ac:dyDescent="0.35"/>
    <row r="17" spans="1:6" ht="15" thickBot="1" x14ac:dyDescent="0.35">
      <c r="A17" s="3" t="s">
        <v>0</v>
      </c>
      <c r="B17" s="20"/>
      <c r="C17" s="21"/>
      <c r="D17" s="22"/>
      <c r="E17" s="22"/>
      <c r="F17" s="2"/>
    </row>
    <row r="19" spans="1:6" x14ac:dyDescent="0.3">
      <c r="A19" s="23" t="s">
        <v>21</v>
      </c>
      <c r="B19" s="24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ColWidth="11.44140625" defaultRowHeight="14.4" x14ac:dyDescent="0.3"/>
  <cols>
    <col min="1" max="1" width="33" style="1" customWidth="1"/>
    <col min="2" max="5" width="16.88671875" style="1" customWidth="1"/>
    <col min="6" max="16384" width="11.44140625" style="1"/>
  </cols>
  <sheetData>
    <row r="1" spans="1:5" ht="15" thickBot="1" x14ac:dyDescent="0.35">
      <c r="A1" s="19" t="s">
        <v>19</v>
      </c>
      <c r="B1" s="18" t="s">
        <v>23</v>
      </c>
      <c r="C1" s="17"/>
      <c r="D1" s="17"/>
      <c r="E1" s="17"/>
    </row>
    <row r="2" spans="1:5" ht="15" thickBot="1" x14ac:dyDescent="0.35">
      <c r="A2" s="16" t="s">
        <v>17</v>
      </c>
      <c r="B2" s="15" t="s">
        <v>16</v>
      </c>
      <c r="C2" s="14" t="s">
        <v>15</v>
      </c>
      <c r="D2" s="14" t="s">
        <v>14</v>
      </c>
      <c r="E2" s="14" t="s">
        <v>20</v>
      </c>
    </row>
    <row r="3" spans="1:5" ht="15" thickTop="1" x14ac:dyDescent="0.3">
      <c r="A3" s="13" t="s">
        <v>13</v>
      </c>
      <c r="B3" s="12">
        <v>654</v>
      </c>
      <c r="C3" s="11">
        <v>0.14000000000000001</v>
      </c>
      <c r="D3" s="11">
        <f t="shared" ref="D3:D15" si="0">B3*C3</f>
        <v>91.56</v>
      </c>
      <c r="E3" s="11"/>
    </row>
    <row r="4" spans="1:5" x14ac:dyDescent="0.3">
      <c r="A4" s="9" t="s">
        <v>12</v>
      </c>
      <c r="B4" s="8">
        <v>6456</v>
      </c>
      <c r="C4" s="7">
        <v>1.75</v>
      </c>
      <c r="D4" s="7">
        <f t="shared" si="0"/>
        <v>11298</v>
      </c>
      <c r="E4" s="7"/>
    </row>
    <row r="5" spans="1:5" x14ac:dyDescent="0.3">
      <c r="A5" s="9" t="s">
        <v>11</v>
      </c>
      <c r="B5" s="8">
        <v>87</v>
      </c>
      <c r="C5" s="7">
        <v>1.75</v>
      </c>
      <c r="D5" s="7">
        <f t="shared" si="0"/>
        <v>152.25</v>
      </c>
      <c r="E5" s="7"/>
    </row>
    <row r="6" spans="1:5" x14ac:dyDescent="0.3">
      <c r="A6" s="9" t="s">
        <v>10</v>
      </c>
      <c r="B6" s="8">
        <v>678</v>
      </c>
      <c r="C6" s="7">
        <v>1.65</v>
      </c>
      <c r="D6" s="7">
        <f t="shared" si="0"/>
        <v>1118.7</v>
      </c>
      <c r="E6" s="7"/>
    </row>
    <row r="7" spans="1:5" x14ac:dyDescent="0.3">
      <c r="A7" s="9" t="s">
        <v>9</v>
      </c>
      <c r="B7" s="8">
        <v>57</v>
      </c>
      <c r="C7" s="7">
        <v>5.67</v>
      </c>
      <c r="D7" s="7">
        <f t="shared" si="0"/>
        <v>323.19</v>
      </c>
      <c r="E7" s="7"/>
    </row>
    <row r="8" spans="1:5" x14ac:dyDescent="0.3">
      <c r="A8" s="9" t="s">
        <v>8</v>
      </c>
      <c r="B8" s="8">
        <v>999</v>
      </c>
      <c r="C8" s="7">
        <v>0.18</v>
      </c>
      <c r="D8" s="7">
        <f t="shared" si="0"/>
        <v>179.82</v>
      </c>
      <c r="E8" s="7"/>
    </row>
    <row r="9" spans="1:5" x14ac:dyDescent="0.3">
      <c r="A9" s="9" t="s">
        <v>7</v>
      </c>
      <c r="B9" s="8">
        <v>2543</v>
      </c>
      <c r="C9" s="7">
        <v>0.08</v>
      </c>
      <c r="D9" s="7">
        <f t="shared" si="0"/>
        <v>203.44</v>
      </c>
      <c r="E9" s="7"/>
    </row>
    <row r="10" spans="1:5" x14ac:dyDescent="0.3">
      <c r="A10" s="9" t="s">
        <v>6</v>
      </c>
      <c r="B10" s="10">
        <v>756</v>
      </c>
      <c r="C10" s="7">
        <v>1.68</v>
      </c>
      <c r="D10" s="7">
        <f t="shared" si="0"/>
        <v>1270.08</v>
      </c>
      <c r="E10" s="25"/>
    </row>
    <row r="11" spans="1:5" x14ac:dyDescent="0.3">
      <c r="A11" s="9" t="s">
        <v>5</v>
      </c>
      <c r="B11" s="8">
        <v>75</v>
      </c>
      <c r="C11" s="7">
        <v>2.5</v>
      </c>
      <c r="D11" s="7">
        <f t="shared" si="0"/>
        <v>187.5</v>
      </c>
      <c r="E11" s="7"/>
    </row>
    <row r="12" spans="1:5" x14ac:dyDescent="0.3">
      <c r="A12" s="9" t="s">
        <v>4</v>
      </c>
      <c r="B12" s="8">
        <v>857</v>
      </c>
      <c r="C12" s="7">
        <v>2.5</v>
      </c>
      <c r="D12" s="7">
        <f t="shared" si="0"/>
        <v>2142.5</v>
      </c>
      <c r="E12" s="7"/>
    </row>
    <row r="13" spans="1:5" x14ac:dyDescent="0.3">
      <c r="A13" s="9" t="s">
        <v>3</v>
      </c>
      <c r="B13" s="8">
        <v>7674</v>
      </c>
      <c r="C13" s="7">
        <v>1.59</v>
      </c>
      <c r="D13" s="7">
        <f t="shared" si="0"/>
        <v>12201.66</v>
      </c>
      <c r="E13" s="7"/>
    </row>
    <row r="14" spans="1:5" x14ac:dyDescent="0.3">
      <c r="A14" s="9" t="s">
        <v>2</v>
      </c>
      <c r="B14" s="8">
        <v>645</v>
      </c>
      <c r="C14" s="7">
        <v>0.33</v>
      </c>
      <c r="D14" s="7">
        <f t="shared" si="0"/>
        <v>212.85000000000002</v>
      </c>
      <c r="E14" s="7"/>
    </row>
    <row r="15" spans="1:5" ht="15" thickBot="1" x14ac:dyDescent="0.35">
      <c r="A15" s="6" t="s">
        <v>1</v>
      </c>
      <c r="B15" s="5">
        <v>6455</v>
      </c>
      <c r="C15" s="4">
        <v>0.33</v>
      </c>
      <c r="D15" s="4">
        <f t="shared" si="0"/>
        <v>2130.15</v>
      </c>
      <c r="E15" s="4"/>
    </row>
    <row r="16" spans="1:5" ht="15" thickBot="1" x14ac:dyDescent="0.35"/>
    <row r="17" spans="1:6" ht="15" thickBot="1" x14ac:dyDescent="0.35">
      <c r="A17" s="3" t="s">
        <v>0</v>
      </c>
      <c r="B17" s="26"/>
      <c r="C17" s="27"/>
      <c r="D17" s="27"/>
      <c r="E17" s="22"/>
      <c r="F17" s="2"/>
    </row>
    <row r="19" spans="1:6" x14ac:dyDescent="0.3">
      <c r="A19" s="23" t="s">
        <v>21</v>
      </c>
      <c r="B19" s="28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18"/>
  <sheetViews>
    <sheetView workbookViewId="0">
      <selection activeCell="D12" sqref="D12"/>
    </sheetView>
  </sheetViews>
  <sheetFormatPr baseColWidth="10" defaultColWidth="11.44140625" defaultRowHeight="14.4" x14ac:dyDescent="0.3"/>
  <cols>
    <col min="1" max="1" width="10.6640625" style="1" customWidth="1"/>
    <col min="2" max="2" width="9.33203125" style="1" bestFit="1" customWidth="1"/>
    <col min="3" max="8" width="15" style="1" customWidth="1"/>
    <col min="9" max="16384" width="11.44140625" style="1"/>
  </cols>
  <sheetData>
    <row r="1" spans="1:9" x14ac:dyDescent="0.3">
      <c r="A1" s="29" t="s">
        <v>17</v>
      </c>
      <c r="B1" s="30" t="s">
        <v>24</v>
      </c>
      <c r="C1" s="31" t="s">
        <v>16</v>
      </c>
      <c r="D1" s="32" t="s">
        <v>25</v>
      </c>
      <c r="E1" s="45" t="s">
        <v>26</v>
      </c>
      <c r="F1" s="45" t="s">
        <v>27</v>
      </c>
      <c r="G1" s="46" t="s">
        <v>0</v>
      </c>
      <c r="H1"/>
    </row>
    <row r="2" spans="1:9" ht="15" thickBot="1" x14ac:dyDescent="0.35">
      <c r="A2" s="47" t="s">
        <v>28</v>
      </c>
      <c r="B2" s="48">
        <v>2</v>
      </c>
      <c r="C2" s="49">
        <v>5</v>
      </c>
      <c r="D2" s="4">
        <v>2.1</v>
      </c>
      <c r="E2" s="50"/>
      <c r="F2" s="4"/>
      <c r="G2" s="51"/>
      <c r="H2"/>
    </row>
    <row r="3" spans="1:9" ht="15" thickBot="1" x14ac:dyDescent="0.35"/>
    <row r="4" spans="1:9" s="35" customFormat="1" ht="15" hidden="1" thickBot="1" x14ac:dyDescent="0.35">
      <c r="A4" s="33"/>
      <c r="B4" s="33"/>
      <c r="C4" s="34"/>
    </row>
    <row r="5" spans="1:9" ht="15" hidden="1" thickBot="1" x14ac:dyDescent="0.35"/>
    <row r="6" spans="1:9" x14ac:dyDescent="0.3">
      <c r="A6" s="36" t="s">
        <v>21</v>
      </c>
      <c r="B6" s="37"/>
      <c r="D6"/>
      <c r="E6"/>
      <c r="F6"/>
      <c r="G6"/>
      <c r="H6"/>
      <c r="I6"/>
    </row>
    <row r="7" spans="1:9" x14ac:dyDescent="0.3">
      <c r="A7" s="38" t="s">
        <v>29</v>
      </c>
      <c r="B7" s="39"/>
      <c r="D7"/>
      <c r="E7"/>
      <c r="F7"/>
      <c r="G7"/>
      <c r="H7"/>
      <c r="I7"/>
    </row>
    <row r="8" spans="1:9" x14ac:dyDescent="0.3">
      <c r="A8" s="38">
        <v>1</v>
      </c>
      <c r="B8" s="40">
        <v>0.18</v>
      </c>
      <c r="D8"/>
      <c r="E8"/>
      <c r="F8"/>
      <c r="G8"/>
      <c r="H8"/>
      <c r="I8"/>
    </row>
    <row r="9" spans="1:9" ht="15" thickBot="1" x14ac:dyDescent="0.35">
      <c r="A9" s="41">
        <v>2</v>
      </c>
      <c r="B9" s="42">
        <v>0.22</v>
      </c>
      <c r="D9"/>
      <c r="E9"/>
      <c r="F9"/>
      <c r="G9"/>
      <c r="H9"/>
      <c r="I9"/>
    </row>
    <row r="10" spans="1:9" ht="15" thickBot="1" x14ac:dyDescent="0.35">
      <c r="D10"/>
      <c r="E10"/>
      <c r="F10"/>
      <c r="G10"/>
      <c r="H10"/>
      <c r="I10"/>
    </row>
    <row r="11" spans="1:9" ht="15" thickBot="1" x14ac:dyDescent="0.35">
      <c r="A11" s="43" t="s">
        <v>27</v>
      </c>
      <c r="B11" s="44">
        <v>0.1</v>
      </c>
      <c r="D11"/>
      <c r="E11"/>
      <c r="F11"/>
      <c r="G11"/>
      <c r="H11"/>
      <c r="I11"/>
    </row>
    <row r="12" spans="1:9" x14ac:dyDescent="0.3">
      <c r="D12"/>
      <c r="E12"/>
      <c r="F12"/>
      <c r="G12"/>
      <c r="H12"/>
      <c r="I12"/>
    </row>
    <row r="13" spans="1:9" x14ac:dyDescent="0.3">
      <c r="D13"/>
      <c r="E13"/>
      <c r="F13"/>
      <c r="G13"/>
      <c r="H13"/>
      <c r="I13"/>
    </row>
    <row r="14" spans="1:9" x14ac:dyDescent="0.3">
      <c r="D14"/>
      <c r="E14"/>
      <c r="F14"/>
      <c r="G14"/>
      <c r="H14"/>
      <c r="I14"/>
    </row>
    <row r="15" spans="1:9" x14ac:dyDescent="0.3">
      <c r="D15"/>
      <c r="E15"/>
      <c r="F15"/>
      <c r="G15"/>
      <c r="H15"/>
      <c r="I15"/>
    </row>
    <row r="18" spans="6:6" x14ac:dyDescent="0.3">
      <c r="F1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4.4" x14ac:dyDescent="0.3"/>
  <sheetData>
    <row r="1" spans="1:4" ht="15" thickBot="1" x14ac:dyDescent="0.35">
      <c r="A1" s="52"/>
      <c r="B1" s="53" t="s">
        <v>30</v>
      </c>
      <c r="C1" s="53" t="s">
        <v>31</v>
      </c>
      <c r="D1" s="54" t="s">
        <v>32</v>
      </c>
    </row>
    <row r="2" spans="1:4" x14ac:dyDescent="0.3">
      <c r="A2" s="55">
        <v>1</v>
      </c>
      <c r="B2" s="55" t="s">
        <v>33</v>
      </c>
      <c r="C2" s="55">
        <v>2345</v>
      </c>
      <c r="D2" s="55">
        <v>1342</v>
      </c>
    </row>
    <row r="3" spans="1:4" x14ac:dyDescent="0.3">
      <c r="A3" s="56">
        <v>2</v>
      </c>
      <c r="B3" s="56" t="s">
        <v>34</v>
      </c>
      <c r="C3" s="56">
        <v>3654</v>
      </c>
      <c r="D3" s="56">
        <v>1456</v>
      </c>
    </row>
    <row r="4" spans="1:4" x14ac:dyDescent="0.3">
      <c r="A4" s="56">
        <v>3</v>
      </c>
      <c r="B4" s="56" t="s">
        <v>35</v>
      </c>
      <c r="C4" s="56">
        <v>2568</v>
      </c>
      <c r="D4" s="56">
        <v>1245</v>
      </c>
    </row>
    <row r="5" spans="1:4" x14ac:dyDescent="0.3">
      <c r="A5" s="56">
        <v>4</v>
      </c>
      <c r="B5" s="56" t="s">
        <v>36</v>
      </c>
      <c r="C5" s="56">
        <v>3643</v>
      </c>
      <c r="D5" s="56">
        <v>2456</v>
      </c>
    </row>
    <row r="6" spans="1:4" x14ac:dyDescent="0.3">
      <c r="A6" s="56">
        <v>5</v>
      </c>
      <c r="B6" s="56" t="s">
        <v>37</v>
      </c>
      <c r="C6" s="56">
        <v>2986</v>
      </c>
      <c r="D6" s="56">
        <v>3244</v>
      </c>
    </row>
    <row r="7" spans="1:4" x14ac:dyDescent="0.3">
      <c r="A7" s="56">
        <v>6</v>
      </c>
      <c r="B7" s="56" t="s">
        <v>38</v>
      </c>
      <c r="C7" s="56">
        <v>4987</v>
      </c>
      <c r="D7" s="56">
        <v>2987</v>
      </c>
    </row>
    <row r="8" spans="1:4" x14ac:dyDescent="0.3">
      <c r="A8" s="56">
        <v>7</v>
      </c>
      <c r="B8" s="56" t="s">
        <v>39</v>
      </c>
      <c r="C8" s="56">
        <v>3667</v>
      </c>
      <c r="D8" s="56">
        <v>1879</v>
      </c>
    </row>
    <row r="9" spans="1:4" x14ac:dyDescent="0.3">
      <c r="A9" s="56">
        <v>8</v>
      </c>
      <c r="B9" s="56" t="s">
        <v>40</v>
      </c>
      <c r="C9" s="56">
        <v>789</v>
      </c>
      <c r="D9" s="56">
        <v>688</v>
      </c>
    </row>
    <row r="10" spans="1:4" x14ac:dyDescent="0.3">
      <c r="A10" s="56">
        <v>9</v>
      </c>
      <c r="B10" s="56" t="s">
        <v>41</v>
      </c>
      <c r="C10" s="56">
        <v>2568</v>
      </c>
      <c r="D10" s="56">
        <v>967</v>
      </c>
    </row>
    <row r="11" spans="1:4" x14ac:dyDescent="0.3">
      <c r="A11" s="56">
        <v>10</v>
      </c>
      <c r="B11" s="56" t="s">
        <v>42</v>
      </c>
      <c r="C11" s="56">
        <v>1200</v>
      </c>
      <c r="D11" s="56">
        <v>800</v>
      </c>
    </row>
    <row r="12" spans="1:4" x14ac:dyDescent="0.3">
      <c r="A12" s="56">
        <v>11</v>
      </c>
      <c r="B12" s="56" t="s">
        <v>43</v>
      </c>
      <c r="C12" s="56">
        <v>2454</v>
      </c>
      <c r="D12" s="56"/>
    </row>
    <row r="13" spans="1:4" x14ac:dyDescent="0.3">
      <c r="A13" s="56">
        <v>12</v>
      </c>
      <c r="B13" s="56" t="s">
        <v>44</v>
      </c>
      <c r="C13" s="56">
        <v>1133</v>
      </c>
      <c r="D13" s="56"/>
    </row>
    <row r="15" spans="1:4" x14ac:dyDescent="0.3">
      <c r="B15" s="57"/>
    </row>
    <row r="16" spans="1:4" x14ac:dyDescent="0.3">
      <c r="A16" s="58"/>
      <c r="B16" s="56" t="str">
        <f ca="1">INDEX(A2:C13,MATCH(MONTH(TODAY()),A2:A13),2)</f>
        <v>Septiembre</v>
      </c>
      <c r="C16" s="56">
        <f ca="1">INDEX(A2:D13,MATCH(B16,B2:B13,0),3)</f>
        <v>2568</v>
      </c>
      <c r="D16" s="59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Arles Valladares</cp:lastModifiedBy>
  <dcterms:created xsi:type="dcterms:W3CDTF">2012-09-11T02:18:41Z</dcterms:created>
  <dcterms:modified xsi:type="dcterms:W3CDTF">2022-09-21T12:22:49Z</dcterms:modified>
</cp:coreProperties>
</file>